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and\Downloads\"/>
    </mc:Choice>
  </mc:AlternateContent>
  <bookViews>
    <workbookView xWindow="0" yWindow="0" windowWidth="19200" windowHeight="6060" activeTab="1"/>
  </bookViews>
  <sheets>
    <sheet name="Presupuesto" sheetId="1" r:id="rId1"/>
    <sheet name="Flujo de Caja" sheetId="2" r:id="rId2"/>
    <sheet name="Real vs presupuestado" sheetId="5" r:id="rId3"/>
    <sheet name="Hoja1" sheetId="3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lIbRJoP6diw1GM4msjV21rjTJFRJ6jGnmzz0rBfF1Q="/>
    </ext>
  </extLst>
</workbook>
</file>

<file path=xl/calcChain.xml><?xml version="1.0" encoding="utf-8"?>
<calcChain xmlns="http://schemas.openxmlformats.org/spreadsheetml/2006/main">
  <c r="K56" i="2" l="1"/>
  <c r="K49" i="2"/>
  <c r="C12" i="5"/>
  <c r="G12" i="5"/>
  <c r="G11" i="5"/>
  <c r="G10" i="5"/>
  <c r="D65" i="2" l="1"/>
  <c r="H65" i="2" s="1"/>
  <c r="D54" i="2"/>
  <c r="J54" i="2" s="1"/>
  <c r="D53" i="2"/>
  <c r="H53" i="2" s="1"/>
  <c r="D48" i="2"/>
  <c r="G48" i="2" s="1"/>
  <c r="D47" i="2"/>
  <c r="K47" i="2" s="1"/>
  <c r="D40" i="2"/>
  <c r="G40" i="2" s="1"/>
  <c r="D39" i="2"/>
  <c r="G39" i="2" s="1"/>
  <c r="D35" i="2"/>
  <c r="H35" i="2" s="1"/>
  <c r="D29" i="2"/>
  <c r="E29" i="2" s="1"/>
  <c r="Y28" i="2"/>
  <c r="Y27" i="2"/>
  <c r="Y26" i="2"/>
  <c r="Y25" i="2"/>
  <c r="Y24" i="2"/>
  <c r="Y23" i="2"/>
  <c r="D23" i="2"/>
  <c r="I23" i="2" s="1"/>
  <c r="Z18" i="2"/>
  <c r="Z17" i="2"/>
  <c r="Z16" i="2"/>
  <c r="F57" i="1"/>
  <c r="D57" i="1"/>
  <c r="W38" i="1"/>
  <c r="Z29" i="1" s="1"/>
  <c r="U38" i="1"/>
  <c r="M38" i="1"/>
  <c r="E38" i="1"/>
  <c r="W37" i="1"/>
  <c r="V37" i="1"/>
  <c r="O37" i="1"/>
  <c r="N37" i="1"/>
  <c r="D42" i="2" s="1"/>
  <c r="J42" i="2" s="1"/>
  <c r="G37" i="1"/>
  <c r="G38" i="1" s="1"/>
  <c r="F59" i="1" s="1"/>
  <c r="F37" i="1"/>
  <c r="F38" i="1" s="1"/>
  <c r="D59" i="1" s="1"/>
  <c r="W36" i="1"/>
  <c r="V36" i="1"/>
  <c r="D64" i="2" s="1"/>
  <c r="O36" i="1"/>
  <c r="N36" i="1"/>
  <c r="D41" i="2" s="1"/>
  <c r="E41" i="2" s="1"/>
  <c r="W35" i="1"/>
  <c r="V35" i="1"/>
  <c r="D63" i="2" s="1"/>
  <c r="O35" i="1"/>
  <c r="N35" i="1"/>
  <c r="W34" i="1"/>
  <c r="V34" i="1"/>
  <c r="D62" i="2" s="1"/>
  <c r="O34" i="1"/>
  <c r="N34" i="1"/>
  <c r="W33" i="1"/>
  <c r="V33" i="1"/>
  <c r="D61" i="2" s="1"/>
  <c r="K61" i="2" s="1"/>
  <c r="O33" i="1"/>
  <c r="O38" i="1" s="1"/>
  <c r="Z26" i="1" s="1"/>
  <c r="N33" i="1"/>
  <c r="N38" i="1" s="1"/>
  <c r="D43" i="2" s="1"/>
  <c r="W32" i="1"/>
  <c r="V32" i="1"/>
  <c r="D60" i="2" s="1"/>
  <c r="K60" i="2" s="1"/>
  <c r="W31" i="1"/>
  <c r="V31" i="1"/>
  <c r="D59" i="2" s="1"/>
  <c r="H59" i="2" s="1"/>
  <c r="N31" i="1"/>
  <c r="D36" i="2" s="1"/>
  <c r="M31" i="1"/>
  <c r="W30" i="1"/>
  <c r="V30" i="1"/>
  <c r="O30" i="1"/>
  <c r="N30" i="1"/>
  <c r="O29" i="1"/>
  <c r="O31" i="1" s="1"/>
  <c r="Z25" i="1" s="1"/>
  <c r="N29" i="1"/>
  <c r="D34" i="2" s="1"/>
  <c r="J34" i="2" s="1"/>
  <c r="AC28" i="1"/>
  <c r="U28" i="1"/>
  <c r="O28" i="1"/>
  <c r="N28" i="1"/>
  <c r="D33" i="2" s="1"/>
  <c r="G33" i="2" s="1"/>
  <c r="AC27" i="1"/>
  <c r="W27" i="1"/>
  <c r="V27" i="1"/>
  <c r="D55" i="2" s="1"/>
  <c r="AC26" i="1"/>
  <c r="W26" i="1"/>
  <c r="V26" i="1"/>
  <c r="M26" i="1"/>
  <c r="U39" i="1" s="1"/>
  <c r="AC25" i="1"/>
  <c r="W25" i="1"/>
  <c r="V25" i="1"/>
  <c r="O25" i="1"/>
  <c r="N25" i="1"/>
  <c r="D30" i="2" s="1"/>
  <c r="AC24" i="1"/>
  <c r="W24" i="1"/>
  <c r="W28" i="1" s="1"/>
  <c r="Z28" i="1" s="1"/>
  <c r="V24" i="1"/>
  <c r="D52" i="2" s="1"/>
  <c r="H52" i="2" s="1"/>
  <c r="O24" i="1"/>
  <c r="N24" i="1"/>
  <c r="W23" i="1"/>
  <c r="V23" i="1"/>
  <c r="D51" i="2" s="1"/>
  <c r="J51" i="2" s="1"/>
  <c r="O23" i="1"/>
  <c r="N23" i="1"/>
  <c r="D28" i="2" s="1"/>
  <c r="O22" i="1"/>
  <c r="N22" i="1"/>
  <c r="D27" i="2" s="1"/>
  <c r="U21" i="1"/>
  <c r="O21" i="1"/>
  <c r="N21" i="1"/>
  <c r="D26" i="2" s="1"/>
  <c r="G26" i="2" s="1"/>
  <c r="G21" i="1"/>
  <c r="F46" i="1" s="1"/>
  <c r="F21" i="1"/>
  <c r="D46" i="1" s="1"/>
  <c r="E21" i="1"/>
  <c r="W20" i="1"/>
  <c r="V20" i="1"/>
  <c r="O20" i="1"/>
  <c r="N20" i="1"/>
  <c r="D25" i="2" s="1"/>
  <c r="E25" i="2" s="1"/>
  <c r="G20" i="1"/>
  <c r="F20" i="1"/>
  <c r="D18" i="2" s="1"/>
  <c r="E18" i="2" s="1"/>
  <c r="W19" i="1"/>
  <c r="V19" i="1"/>
  <c r="O19" i="1"/>
  <c r="N19" i="1"/>
  <c r="D24" i="2" s="1"/>
  <c r="K24" i="2" s="1"/>
  <c r="G19" i="1"/>
  <c r="F19" i="1"/>
  <c r="D17" i="2" s="1"/>
  <c r="E17" i="2" s="1"/>
  <c r="AA18" i="1"/>
  <c r="W18" i="1"/>
  <c r="V18" i="1"/>
  <c r="D46" i="2" s="1"/>
  <c r="O18" i="1"/>
  <c r="N18" i="1"/>
  <c r="G18" i="1"/>
  <c r="F18" i="1"/>
  <c r="D16" i="2" s="1"/>
  <c r="E16" i="2" s="1"/>
  <c r="AA17" i="1"/>
  <c r="W17" i="1"/>
  <c r="V17" i="1"/>
  <c r="O17" i="1"/>
  <c r="N17" i="1"/>
  <c r="D22" i="2" s="1"/>
  <c r="G17" i="1"/>
  <c r="F17" i="1"/>
  <c r="D15" i="2" s="1"/>
  <c r="K15" i="2" s="1"/>
  <c r="G16" i="1"/>
  <c r="F16" i="1"/>
  <c r="D14" i="2" s="1"/>
  <c r="K53" i="2" l="1"/>
  <c r="J53" i="2"/>
  <c r="I53" i="2"/>
  <c r="H15" i="2"/>
  <c r="AB23" i="2" s="1"/>
  <c r="G42" i="2"/>
  <c r="J16" i="2"/>
  <c r="E51" i="2"/>
  <c r="G18" i="2"/>
  <c r="I24" i="2"/>
  <c r="I61" i="2"/>
  <c r="K16" i="2"/>
  <c r="J24" i="2"/>
  <c r="H34" i="2"/>
  <c r="I41" i="2"/>
  <c r="I35" i="2"/>
  <c r="H42" i="2"/>
  <c r="J35" i="2"/>
  <c r="E26" i="2"/>
  <c r="E15" i="2"/>
  <c r="K35" i="2"/>
  <c r="E47" i="2"/>
  <c r="G15" i="2"/>
  <c r="G22" i="2"/>
  <c r="J22" i="2"/>
  <c r="K22" i="2"/>
  <c r="I22" i="2"/>
  <c r="H22" i="2"/>
  <c r="O26" i="1"/>
  <c r="Z24" i="1" s="1"/>
  <c r="K25" i="2"/>
  <c r="K28" i="2"/>
  <c r="H28" i="2"/>
  <c r="J28" i="2"/>
  <c r="I28" i="2"/>
  <c r="G28" i="2"/>
  <c r="E28" i="2"/>
  <c r="I36" i="2"/>
  <c r="G36" i="2"/>
  <c r="E36" i="2"/>
  <c r="H36" i="2"/>
  <c r="K36" i="2"/>
  <c r="J36" i="2"/>
  <c r="J63" i="2"/>
  <c r="H63" i="2"/>
  <c r="G63" i="2"/>
  <c r="I63" i="2"/>
  <c r="E63" i="2"/>
  <c r="K63" i="2"/>
  <c r="J27" i="2"/>
  <c r="I27" i="2"/>
  <c r="K27" i="2"/>
  <c r="H27" i="2"/>
  <c r="G27" i="2"/>
  <c r="E27" i="2"/>
  <c r="J30" i="2"/>
  <c r="I30" i="2"/>
  <c r="K30" i="2"/>
  <c r="H30" i="2"/>
  <c r="G30" i="2"/>
  <c r="E30" i="2"/>
  <c r="I46" i="2"/>
  <c r="E46" i="2"/>
  <c r="H46" i="2"/>
  <c r="G46" i="2"/>
  <c r="K46" i="2"/>
  <c r="J46" i="2"/>
  <c r="J55" i="2"/>
  <c r="H55" i="2"/>
  <c r="I55" i="2"/>
  <c r="G55" i="2"/>
  <c r="K55" i="2"/>
  <c r="E55" i="2"/>
  <c r="I62" i="2"/>
  <c r="E62" i="2"/>
  <c r="H62" i="2"/>
  <c r="G62" i="2"/>
  <c r="K62" i="2"/>
  <c r="J62" i="2"/>
  <c r="D19" i="2"/>
  <c r="K14" i="2"/>
  <c r="J14" i="2"/>
  <c r="I14" i="2"/>
  <c r="H14" i="2"/>
  <c r="G14" i="2"/>
  <c r="E14" i="2"/>
  <c r="K64" i="2"/>
  <c r="I64" i="2"/>
  <c r="H64" i="2"/>
  <c r="J64" i="2"/>
  <c r="G64" i="2"/>
  <c r="E64" i="2"/>
  <c r="G43" i="2"/>
  <c r="E43" i="2"/>
  <c r="J43" i="2"/>
  <c r="I43" i="2"/>
  <c r="K43" i="2"/>
  <c r="H43" i="2"/>
  <c r="I15" i="2"/>
  <c r="G17" i="2"/>
  <c r="I18" i="2"/>
  <c r="J23" i="2"/>
  <c r="G29" i="2"/>
  <c r="K34" i="2"/>
  <c r="D38" i="2"/>
  <c r="I42" i="2"/>
  <c r="E48" i="2"/>
  <c r="H51" i="2"/>
  <c r="J61" i="2"/>
  <c r="D61" i="1"/>
  <c r="N26" i="1"/>
  <c r="D31" i="2" s="1"/>
  <c r="E59" i="2"/>
  <c r="K59" i="2"/>
  <c r="F61" i="1"/>
  <c r="I40" i="2"/>
  <c r="K40" i="2"/>
  <c r="J40" i="2"/>
  <c r="W21" i="1"/>
  <c r="E40" i="2"/>
  <c r="G51" i="2"/>
  <c r="G59" i="2"/>
  <c r="K26" i="2"/>
  <c r="J26" i="2"/>
  <c r="W39" i="1"/>
  <c r="F48" i="1" s="1"/>
  <c r="F50" i="1" s="1"/>
  <c r="J15" i="2"/>
  <c r="H17" i="2"/>
  <c r="AB25" i="2" s="1"/>
  <c r="J18" i="2"/>
  <c r="K23" i="2"/>
  <c r="G25" i="2"/>
  <c r="H26" i="2"/>
  <c r="H40" i="2"/>
  <c r="I51" i="2"/>
  <c r="I59" i="2"/>
  <c r="E33" i="2"/>
  <c r="K33" i="2"/>
  <c r="K48" i="2"/>
  <c r="I48" i="2"/>
  <c r="J48" i="2"/>
  <c r="H48" i="2"/>
  <c r="G24" i="2"/>
  <c r="E24" i="2"/>
  <c r="V28" i="1"/>
  <c r="D56" i="2" s="1"/>
  <c r="D58" i="2"/>
  <c r="V38" i="1"/>
  <c r="G16" i="2"/>
  <c r="I17" i="2"/>
  <c r="K18" i="2"/>
  <c r="H25" i="2"/>
  <c r="I26" i="2"/>
  <c r="H33" i="2"/>
  <c r="I54" i="2"/>
  <c r="G54" i="2"/>
  <c r="E54" i="2"/>
  <c r="H54" i="2"/>
  <c r="J59" i="2"/>
  <c r="V21" i="1"/>
  <c r="D49" i="2" s="1"/>
  <c r="D45" i="2"/>
  <c r="G34" i="2"/>
  <c r="E34" i="2"/>
  <c r="K41" i="2"/>
  <c r="J41" i="2"/>
  <c r="H23" i="2"/>
  <c r="G23" i="2"/>
  <c r="E23" i="2"/>
  <c r="K29" i="2"/>
  <c r="I29" i="2"/>
  <c r="J29" i="2"/>
  <c r="H29" i="2"/>
  <c r="I34" i="2"/>
  <c r="H18" i="2"/>
  <c r="AB26" i="2" s="1"/>
  <c r="G60" i="2"/>
  <c r="E60" i="2"/>
  <c r="G52" i="2"/>
  <c r="E52" i="2"/>
  <c r="H16" i="2"/>
  <c r="AB24" i="2" s="1"/>
  <c r="J17" i="2"/>
  <c r="I25" i="2"/>
  <c r="I33" i="2"/>
  <c r="K39" i="2"/>
  <c r="I39" i="2"/>
  <c r="H39" i="2"/>
  <c r="J39" i="2"/>
  <c r="G41" i="2"/>
  <c r="I52" i="2"/>
  <c r="H60" i="2"/>
  <c r="K65" i="2"/>
  <c r="J65" i="2"/>
  <c r="I65" i="2"/>
  <c r="H61" i="2"/>
  <c r="E61" i="2"/>
  <c r="G61" i="2"/>
  <c r="E42" i="2"/>
  <c r="K42" i="2"/>
  <c r="I16" i="2"/>
  <c r="K17" i="2"/>
  <c r="H24" i="2"/>
  <c r="J25" i="2"/>
  <c r="J33" i="2"/>
  <c r="E39" i="2"/>
  <c r="H41" i="2"/>
  <c r="J47" i="2"/>
  <c r="I47" i="2"/>
  <c r="H47" i="2"/>
  <c r="G47" i="2"/>
  <c r="J52" i="2"/>
  <c r="K54" i="2"/>
  <c r="I60" i="2"/>
  <c r="E65" i="2"/>
  <c r="K52" i="2"/>
  <c r="J60" i="2"/>
  <c r="G65" i="2"/>
  <c r="E53" i="2"/>
  <c r="E22" i="2"/>
  <c r="G35" i="2"/>
  <c r="G53" i="2"/>
  <c r="E35" i="2"/>
  <c r="H45" i="2" l="1"/>
  <c r="E45" i="2"/>
  <c r="G45" i="2"/>
  <c r="I45" i="2"/>
  <c r="J45" i="2"/>
  <c r="K45" i="2"/>
  <c r="J49" i="2"/>
  <c r="I49" i="2"/>
  <c r="G49" i="2"/>
  <c r="E49" i="2"/>
  <c r="H49" i="2"/>
  <c r="J38" i="2"/>
  <c r="I38" i="2"/>
  <c r="H38" i="2"/>
  <c r="G38" i="2"/>
  <c r="K38" i="2"/>
  <c r="E38" i="2"/>
  <c r="D66" i="2"/>
  <c r="V39" i="1"/>
  <c r="K58" i="2"/>
  <c r="J58" i="2"/>
  <c r="H58" i="2"/>
  <c r="G58" i="2"/>
  <c r="E58" i="2"/>
  <c r="I58" i="2"/>
  <c r="K31" i="2"/>
  <c r="J31" i="2"/>
  <c r="H31" i="2"/>
  <c r="G31" i="2"/>
  <c r="E31" i="2"/>
  <c r="I31" i="2"/>
  <c r="E19" i="2"/>
  <c r="G19" i="2"/>
  <c r="J19" i="2"/>
  <c r="I19" i="2"/>
  <c r="H19" i="2"/>
  <c r="K19" i="2"/>
  <c r="H56" i="2"/>
  <c r="J56" i="2"/>
  <c r="I56" i="2"/>
  <c r="G56" i="2"/>
  <c r="E56" i="2"/>
  <c r="AA19" i="1"/>
  <c r="Z27" i="1"/>
  <c r="D67" i="2" l="1"/>
  <c r="D48" i="1"/>
  <c r="D50" i="1" s="1"/>
  <c r="K66" i="2"/>
  <c r="K67" i="2" s="1"/>
  <c r="K68" i="2" s="1"/>
  <c r="J66" i="2"/>
  <c r="J67" i="2" s="1"/>
  <c r="J68" i="2" s="1"/>
  <c r="I66" i="2"/>
  <c r="I67" i="2" s="1"/>
  <c r="I68" i="2" s="1"/>
  <c r="H66" i="2"/>
  <c r="H67" i="2" s="1"/>
  <c r="H68" i="2" s="1"/>
  <c r="E66" i="2"/>
  <c r="E67" i="2" s="1"/>
  <c r="E68" i="2" s="1"/>
  <c r="G66" i="2"/>
  <c r="G67" i="2" s="1"/>
  <c r="G68" i="2" s="1"/>
  <c r="AB27" i="2"/>
</calcChain>
</file>

<file path=xl/sharedStrings.xml><?xml version="1.0" encoding="utf-8"?>
<sst xmlns="http://schemas.openxmlformats.org/spreadsheetml/2006/main" count="296" uniqueCount="98">
  <si>
    <t>Presupuesto Mensual y Anual</t>
  </si>
  <si>
    <t>Instrucciones</t>
  </si>
  <si>
    <t>1. Llena los espacios en azul con tu información</t>
  </si>
  <si>
    <t>2. Clasifica tus gastos cómo Esencial/No Esencial (E/NE)</t>
  </si>
  <si>
    <t>3. Revisa tu flujo de caja</t>
  </si>
  <si>
    <t>4. Analiza tu presupuesto y optimiza tu toma decisiones con base a esto</t>
  </si>
  <si>
    <t>Ingresos</t>
  </si>
  <si>
    <t>Gastos</t>
  </si>
  <si>
    <t>Escoge y suma cuáles son tus gastos esenciales y no esenciales</t>
  </si>
  <si>
    <t>¿Cuáles son tus fuentes de ingreso?</t>
  </si>
  <si>
    <t>¿Cada cuánto?*</t>
  </si>
  <si>
    <t>Monto</t>
  </si>
  <si>
    <t>Mensual</t>
  </si>
  <si>
    <t>Anual</t>
  </si>
  <si>
    <t>¿Cuáles son tus gastos?</t>
  </si>
  <si>
    <t>E/NE</t>
  </si>
  <si>
    <t>Salario</t>
  </si>
  <si>
    <t>Hogar</t>
  </si>
  <si>
    <t>Créditos/ Deudas</t>
  </si>
  <si>
    <t>Tipo de Gasto</t>
  </si>
  <si>
    <t>Valores</t>
  </si>
  <si>
    <t>Bonos</t>
  </si>
  <si>
    <t>Trimestral</t>
  </si>
  <si>
    <t>Arriendo</t>
  </si>
  <si>
    <t>E</t>
  </si>
  <si>
    <t>Crédito Hipotecario</t>
  </si>
  <si>
    <t>Esenciales</t>
  </si>
  <si>
    <t>Dividendos</t>
  </si>
  <si>
    <t>Administración</t>
  </si>
  <si>
    <t>Crédito Auto</t>
  </si>
  <si>
    <t>NE</t>
  </si>
  <si>
    <t>No Esenciales</t>
  </si>
  <si>
    <t>Comisiones</t>
  </si>
  <si>
    <t>Bimensual</t>
  </si>
  <si>
    <t>Luz</t>
  </si>
  <si>
    <t>Tarjeta de Crédito</t>
  </si>
  <si>
    <t>Crédito Deuda</t>
  </si>
  <si>
    <t>Otros</t>
  </si>
  <si>
    <t>Agua</t>
  </si>
  <si>
    <t>Otro</t>
  </si>
  <si>
    <t>Total</t>
  </si>
  <si>
    <t>Gas</t>
  </si>
  <si>
    <t>Teléfono</t>
  </si>
  <si>
    <t>Entretenimiento</t>
  </si>
  <si>
    <t>*</t>
  </si>
  <si>
    <t xml:space="preserve"> (Llena con "Mensual", "Bimensual","Trimestral", "Semestral", "Anual")</t>
  </si>
  <si>
    <t>Internet</t>
  </si>
  <si>
    <t>Viajes</t>
  </si>
  <si>
    <t>Semestral</t>
  </si>
  <si>
    <t>TV</t>
  </si>
  <si>
    <t>Restaurantes</t>
  </si>
  <si>
    <t>Diversión</t>
  </si>
  <si>
    <t>Comida</t>
  </si>
  <si>
    <t>Fiesta</t>
  </si>
  <si>
    <t>Transporte</t>
  </si>
  <si>
    <t>Mercado</t>
  </si>
  <si>
    <t>Comidas por fuera</t>
  </si>
  <si>
    <t>Familia</t>
  </si>
  <si>
    <t>Colegios</t>
  </si>
  <si>
    <t>Seguro Médico</t>
  </si>
  <si>
    <t>Otros Seguros</t>
  </si>
  <si>
    <t>Ingresa en este cuadro cuánto quisieras ahorrar (así no lo estés haciendo en este momento)</t>
  </si>
  <si>
    <t>Gasolina</t>
  </si>
  <si>
    <t>Suscripciones (Netflix, Spotify)</t>
  </si>
  <si>
    <t>Taxi/Uber</t>
  </si>
  <si>
    <t>Gimnasio</t>
  </si>
  <si>
    <t>Ahorro</t>
  </si>
  <si>
    <t>Mantenimiento auto</t>
  </si>
  <si>
    <t>Impuestos</t>
  </si>
  <si>
    <t>¿Cuánto quisieras ahorrar?</t>
  </si>
  <si>
    <t>Seguro auto</t>
  </si>
  <si>
    <t>Otros (Ropa, Juguetes, etc…)</t>
  </si>
  <si>
    <t>Total General</t>
  </si>
  <si>
    <t>Este Flujo de Caja te muestra cuánto te queda de dinero disponible al mes y al año después de cubrir todos tus gastos hoy en día</t>
  </si>
  <si>
    <t>Flujo de Caja Actual</t>
  </si>
  <si>
    <t>Tu Presupuesto</t>
  </si>
  <si>
    <t xml:space="preserve">Mensuales </t>
  </si>
  <si>
    <t>Anuales</t>
  </si>
  <si>
    <t>Flujo De Caja Libre</t>
  </si>
  <si>
    <t>Este Flujo de Caja con Ahorro te dice cuánto te queda para gastar después de guardar lo que quieres ahorrar</t>
  </si>
  <si>
    <t>Flujo de Caja Con Ahorro</t>
  </si>
  <si>
    <t>1. Con la información que agregaste en el presupuesto, este modelo de flujo de caja se creará solo pero con los mismos valores todos los meses.</t>
  </si>
  <si>
    <t>2. Ajusta el flujo de acuerdo a tus ingresos y gastos. Por ejemplo, los impuestos no se pagan mensuales por igual, pon la totalidad del gasto en el mes que corresponde.</t>
  </si>
  <si>
    <t xml:space="preserve">3. Esto te ayudará a organizarte financieramente de acuerdo al flujo que tengas cada mes. </t>
  </si>
  <si>
    <t>Mes 1</t>
  </si>
  <si>
    <t>Mes 2</t>
  </si>
  <si>
    <t>Mes 3</t>
  </si>
  <si>
    <t>Mes 4</t>
  </si>
  <si>
    <t>Mes 5</t>
  </si>
  <si>
    <t>Mes 6</t>
  </si>
  <si>
    <t>Total Ingresos</t>
  </si>
  <si>
    <t>Total Gastos</t>
  </si>
  <si>
    <t>Flujo de Caja</t>
  </si>
  <si>
    <t>Periodicidad</t>
  </si>
  <si>
    <t>Escencial/No Escencial</t>
  </si>
  <si>
    <t>Real</t>
  </si>
  <si>
    <t>Presupuestado</t>
  </si>
  <si>
    <t>Flujo de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</si>
</sst>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_-;_-@"/>
    <numFmt numFmtId="165" formatCode="_-&quot;$&quot;\ * #,##0_-;\-&quot;$&quot;\ * #,##0_-;_-&quot;$&quot;\ * &quot;-&quot;??_-;_-@_-"/>
  </numFmts>
  <fonts count="33">
    <font>
      <sz val="11"/>
      <color theme="1"/>
      <name val="Arial"/>
      <scheme val="minor"/>
    </font>
    <font>
      <sz val="26"/>
      <color theme="0"/>
      <name val="Calibri"/>
      <family val="2"/>
    </font>
    <font>
      <sz val="26"/>
      <color rgb="FFFFFFFF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26"/>
      <color theme="1"/>
      <name val="Calibri"/>
      <family val="2"/>
    </font>
    <font>
      <b/>
      <sz val="12"/>
      <color rgb="FF005058"/>
      <name val="Space Grotesk"/>
    </font>
    <font>
      <sz val="11"/>
      <color rgb="FF005058"/>
      <name val="Space Grotesk"/>
    </font>
    <font>
      <sz val="11"/>
      <color rgb="FF005058"/>
      <name val="Calibri"/>
      <family val="2"/>
    </font>
    <font>
      <b/>
      <sz val="16"/>
      <color theme="0"/>
      <name val="Source Sans Pro"/>
      <family val="2"/>
    </font>
    <font>
      <b/>
      <sz val="16"/>
      <color rgb="FF005058"/>
      <name val="Space Grotesk"/>
    </font>
    <font>
      <i/>
      <sz val="11"/>
      <color rgb="FF005058"/>
      <name val="Space Grotesk"/>
    </font>
    <font>
      <b/>
      <sz val="11"/>
      <color rgb="FF005058"/>
      <name val="Space Grotesk"/>
    </font>
    <font>
      <sz val="11"/>
      <color theme="1"/>
      <name val="Space Grotesk"/>
    </font>
    <font>
      <i/>
      <sz val="10"/>
      <color theme="1"/>
      <name val="Calibri"/>
      <family val="2"/>
    </font>
    <font>
      <sz val="11"/>
      <color rgb="FF005058"/>
      <name val="Source Sans Pro"/>
      <family val="2"/>
    </font>
    <font>
      <i/>
      <sz val="10"/>
      <color rgb="FF005058"/>
      <name val="Source Sans Pro"/>
      <family val="2"/>
    </font>
    <font>
      <sz val="11"/>
      <color theme="0"/>
      <name val="Calibri"/>
      <family val="2"/>
    </font>
    <font>
      <sz val="10"/>
      <color rgb="FF005058"/>
      <name val="Space Grotesk"/>
    </font>
    <font>
      <b/>
      <sz val="10"/>
      <color rgb="FFCCD84B"/>
      <name val="Space Grotesk"/>
    </font>
    <font>
      <i/>
      <sz val="10"/>
      <color rgb="FF005058"/>
      <name val="Space Grotesk"/>
    </font>
    <font>
      <b/>
      <sz val="10"/>
      <color rgb="FF005058"/>
      <name val="Space Grotesk"/>
    </font>
    <font>
      <b/>
      <sz val="11"/>
      <color rgb="FFCCD84B"/>
      <name val="Space Grotesk"/>
    </font>
    <font>
      <sz val="11"/>
      <color rgb="FFCCD84B"/>
      <name val="Space Grotesk"/>
    </font>
    <font>
      <b/>
      <sz val="16"/>
      <color theme="0"/>
      <name val="Calibri"/>
      <family val="2"/>
    </font>
    <font>
      <sz val="12"/>
      <color rgb="FF005058"/>
      <name val="Space Grotesk"/>
    </font>
    <font>
      <sz val="14"/>
      <color rgb="FF005058"/>
      <name val="Space Grotesk"/>
    </font>
    <font>
      <b/>
      <sz val="14"/>
      <color rgb="FF005058"/>
      <name val="Space Grotesk"/>
    </font>
    <font>
      <sz val="11"/>
      <color rgb="FFFFFFFF"/>
      <name val="Calibri"/>
      <family val="2"/>
    </font>
    <font>
      <b/>
      <sz val="16"/>
      <color theme="0"/>
      <name val="Space Grotesk"/>
    </font>
    <font>
      <b/>
      <sz val="11"/>
      <color theme="1"/>
      <name val="Calibri"/>
      <family val="2"/>
    </font>
    <font>
      <sz val="11"/>
      <color rgb="FF005058"/>
      <name val="Space Grotesk"/>
    </font>
    <font>
      <sz val="11"/>
      <color theme="1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5058"/>
        <bgColor rgb="FF005058"/>
      </patternFill>
    </fill>
    <fill>
      <patternFill patternType="solid">
        <fgColor rgb="FFDF807D"/>
        <bgColor rgb="FFDF807D"/>
      </patternFill>
    </fill>
    <fill>
      <patternFill patternType="solid">
        <fgColor rgb="FFCCD84B"/>
        <bgColor rgb="FFCCD84B"/>
      </patternFill>
    </fill>
    <fill>
      <patternFill patternType="solid">
        <fgColor rgb="FFE5E4E2"/>
        <bgColor rgb="FFE5E4E2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4B083"/>
        <bgColor rgb="FFF4B083"/>
      </patternFill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theme="4" tint="0.59999389629810485"/>
        <bgColor rgb="FFDF807D"/>
      </patternFill>
    </fill>
    <fill>
      <patternFill patternType="solid">
        <fgColor theme="4" tint="0.59999389629810485"/>
        <bgColor rgb="FFE5E4E2"/>
      </patternFill>
    </fill>
    <fill>
      <patternFill patternType="solid">
        <fgColor theme="4" tint="0.59999389629810485"/>
        <bgColor rgb="FFD9E2F3"/>
      </patternFill>
    </fill>
  </fills>
  <borders count="6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5058"/>
      </left>
      <right/>
      <top style="thin">
        <color rgb="FF005058"/>
      </top>
      <bottom/>
      <diagonal/>
    </border>
    <border>
      <left/>
      <right/>
      <top style="thin">
        <color rgb="FF005058"/>
      </top>
      <bottom/>
      <diagonal/>
    </border>
    <border>
      <left/>
      <right style="thin">
        <color rgb="FF005058"/>
      </right>
      <top style="thin">
        <color rgb="FF005058"/>
      </top>
      <bottom/>
      <diagonal/>
    </border>
    <border>
      <left/>
      <right/>
      <top/>
      <bottom/>
      <diagonal/>
    </border>
    <border>
      <left style="thin">
        <color rgb="FF005058"/>
      </left>
      <right/>
      <top style="thin">
        <color rgb="FF005058"/>
      </top>
      <bottom style="thin">
        <color rgb="FF005058"/>
      </bottom>
      <diagonal/>
    </border>
    <border>
      <left/>
      <right/>
      <top style="thin">
        <color rgb="FF005058"/>
      </top>
      <bottom style="thin">
        <color rgb="FF005058"/>
      </bottom>
      <diagonal/>
    </border>
    <border>
      <left/>
      <right style="thin">
        <color rgb="FF005058"/>
      </right>
      <top style="thin">
        <color rgb="FF005058"/>
      </top>
      <bottom style="thin">
        <color rgb="FF005058"/>
      </bottom>
      <diagonal/>
    </border>
    <border>
      <left/>
      <right/>
      <top/>
      <bottom/>
      <diagonal/>
    </border>
    <border>
      <left style="thin">
        <color rgb="FF005058"/>
      </left>
      <right/>
      <top/>
      <bottom/>
      <diagonal/>
    </border>
    <border>
      <left/>
      <right style="thin">
        <color rgb="FF005058"/>
      </right>
      <top/>
      <bottom/>
      <diagonal/>
    </border>
    <border>
      <left style="thin">
        <color rgb="FF005058"/>
      </left>
      <right/>
      <top style="thin">
        <color rgb="FF005058"/>
      </top>
      <bottom/>
      <diagonal/>
    </border>
    <border>
      <left/>
      <right/>
      <top style="thin">
        <color rgb="FF005058"/>
      </top>
      <bottom/>
      <diagonal/>
    </border>
    <border>
      <left/>
      <right style="thin">
        <color rgb="FF005058"/>
      </right>
      <top style="thin">
        <color rgb="FF005058"/>
      </top>
      <bottom/>
      <diagonal/>
    </border>
    <border>
      <left style="thin">
        <color rgb="FF005058"/>
      </left>
      <right/>
      <top/>
      <bottom/>
      <diagonal/>
    </border>
    <border>
      <left/>
      <right style="thin">
        <color rgb="FF005058"/>
      </right>
      <top/>
      <bottom/>
      <diagonal/>
    </border>
    <border>
      <left style="thin">
        <color rgb="FF005058"/>
      </left>
      <right/>
      <top style="thin">
        <color rgb="FF005058"/>
      </top>
      <bottom/>
      <diagonal/>
    </border>
    <border>
      <left/>
      <right style="thin">
        <color rgb="FF005058"/>
      </right>
      <top style="thin">
        <color rgb="FF005058"/>
      </top>
      <bottom/>
      <diagonal/>
    </border>
    <border>
      <left style="thin">
        <color rgb="FF005058"/>
      </left>
      <right/>
      <top/>
      <bottom/>
      <diagonal/>
    </border>
    <border>
      <left/>
      <right style="thin">
        <color rgb="FF005058"/>
      </right>
      <top/>
      <bottom/>
      <diagonal/>
    </border>
    <border>
      <left style="thin">
        <color rgb="FF005058"/>
      </left>
      <right/>
      <top/>
      <bottom style="thin">
        <color rgb="FF005058"/>
      </bottom>
      <diagonal/>
    </border>
    <border>
      <left/>
      <right style="thin">
        <color rgb="FF005058"/>
      </right>
      <top/>
      <bottom style="thin">
        <color rgb="FF005058"/>
      </bottom>
      <diagonal/>
    </border>
    <border>
      <left/>
      <right/>
      <top/>
      <bottom/>
      <diagonal/>
    </border>
    <border>
      <left/>
      <right/>
      <top style="thin">
        <color rgb="FF005058"/>
      </top>
      <bottom style="thin">
        <color rgb="FF005058"/>
      </bottom>
      <diagonal/>
    </border>
    <border>
      <left/>
      <right/>
      <top style="thin">
        <color rgb="FF005058"/>
      </top>
      <bottom style="thin">
        <color rgb="FF005058"/>
      </bottom>
      <diagonal/>
    </border>
    <border>
      <left/>
      <right style="thin">
        <color rgb="FF005058"/>
      </right>
      <top style="thin">
        <color rgb="FF005058"/>
      </top>
      <bottom style="thin">
        <color rgb="FF005058"/>
      </bottom>
      <diagonal/>
    </border>
    <border>
      <left style="thin">
        <color rgb="FF005058"/>
      </left>
      <right/>
      <top/>
      <bottom/>
      <diagonal/>
    </border>
    <border>
      <left/>
      <right style="thin">
        <color rgb="FF005058"/>
      </right>
      <top/>
      <bottom/>
      <diagonal/>
    </border>
    <border>
      <left style="thin">
        <color rgb="FF005058"/>
      </left>
      <right/>
      <top/>
      <bottom style="thin">
        <color rgb="FF005058"/>
      </bottom>
      <diagonal/>
    </border>
    <border>
      <left/>
      <right/>
      <top/>
      <bottom style="thin">
        <color rgb="FF005058"/>
      </bottom>
      <diagonal/>
    </border>
    <border>
      <left/>
      <right/>
      <top/>
      <bottom style="thin">
        <color rgb="FF005058"/>
      </bottom>
      <diagonal/>
    </border>
    <border>
      <left/>
      <right style="thin">
        <color rgb="FF005058"/>
      </right>
      <top/>
      <bottom style="thin">
        <color rgb="FF005058"/>
      </bottom>
      <diagonal/>
    </border>
    <border>
      <left/>
      <right/>
      <top/>
      <bottom style="thin">
        <color rgb="FF005058"/>
      </bottom>
      <diagonal/>
    </border>
    <border>
      <left/>
      <right/>
      <top style="thin">
        <color rgb="FF005058"/>
      </top>
      <bottom/>
      <diagonal/>
    </border>
    <border>
      <left/>
      <right/>
      <top style="thin">
        <color rgb="FF005058"/>
      </top>
      <bottom/>
      <diagonal/>
    </border>
    <border>
      <left/>
      <right/>
      <top style="thin">
        <color rgb="FF005058"/>
      </top>
      <bottom/>
      <diagonal/>
    </border>
    <border>
      <left style="thin">
        <color rgb="FF005058"/>
      </left>
      <right style="thin">
        <color rgb="FF005058"/>
      </right>
      <top style="thin">
        <color rgb="FF005058"/>
      </top>
      <bottom/>
      <diagonal/>
    </border>
    <border>
      <left style="thin">
        <color rgb="FF005058"/>
      </left>
      <right style="thin">
        <color rgb="FF005058"/>
      </right>
      <top/>
      <bottom/>
      <diagonal/>
    </border>
    <border>
      <left/>
      <right/>
      <top/>
      <bottom style="thin">
        <color rgb="FF005058"/>
      </bottom>
      <diagonal/>
    </border>
    <border>
      <left/>
      <right/>
      <top/>
      <bottom style="thin">
        <color rgb="FF005058"/>
      </bottom>
      <diagonal/>
    </border>
    <border>
      <left/>
      <right style="thin">
        <color rgb="FF005058"/>
      </right>
      <top/>
      <bottom style="thin">
        <color rgb="FF005058"/>
      </bottom>
      <diagonal/>
    </border>
    <border>
      <left style="thin">
        <color rgb="FF005058"/>
      </left>
      <right style="thin">
        <color rgb="FF005058"/>
      </right>
      <top/>
      <bottom style="thin">
        <color rgb="FF005058"/>
      </bottom>
      <diagonal/>
    </border>
    <border>
      <left style="thin">
        <color rgb="FF005058"/>
      </left>
      <right style="thin">
        <color rgb="FF005058"/>
      </right>
      <top style="thin">
        <color rgb="FF005058"/>
      </top>
      <bottom style="thin">
        <color rgb="FF005058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5058"/>
      </left>
      <right/>
      <top/>
      <bottom/>
      <diagonal/>
    </border>
    <border>
      <left/>
      <right style="thin">
        <color rgb="FF005058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5058"/>
      </left>
      <right/>
      <top style="thin">
        <color rgb="FF005058"/>
      </top>
      <bottom style="thin">
        <color rgb="FF005058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32" fillId="0" borderId="0" applyFont="0" applyFill="0" applyBorder="0" applyAlignment="0" applyProtection="0"/>
  </cellStyleXfs>
  <cellXfs count="225">
    <xf numFmtId="0" fontId="0" fillId="0" borderId="0" xfId="0"/>
    <xf numFmtId="0" fontId="1" fillId="0" borderId="1" xfId="0" applyFont="1" applyBorder="1" applyAlignment="1">
      <alignment vertic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4" fillId="2" borderId="10" xfId="0" applyFont="1" applyFill="1" applyBorder="1"/>
    <xf numFmtId="0" fontId="7" fillId="2" borderId="10" xfId="0" applyFont="1" applyFill="1" applyBorder="1"/>
    <xf numFmtId="0" fontId="4" fillId="2" borderId="11" xfId="0" applyFont="1" applyFill="1" applyBorder="1"/>
    <xf numFmtId="0" fontId="4" fillId="2" borderId="15" xfId="0" applyFont="1" applyFill="1" applyBorder="1"/>
    <xf numFmtId="0" fontId="7" fillId="2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3" xfId="0" applyFont="1" applyBorder="1"/>
    <xf numFmtId="0" fontId="11" fillId="0" borderId="24" xfId="0" applyFont="1" applyBorder="1" applyAlignment="1">
      <alignment horizontal="center"/>
    </xf>
    <xf numFmtId="0" fontId="7" fillId="2" borderId="8" xfId="0" applyFont="1" applyFill="1" applyBorder="1"/>
    <xf numFmtId="164" fontId="7" fillId="0" borderId="0" xfId="0" applyNumberFormat="1" applyFont="1"/>
    <xf numFmtId="164" fontId="7" fillId="0" borderId="21" xfId="0" applyNumberFormat="1" applyFont="1" applyBorder="1"/>
    <xf numFmtId="0" fontId="7" fillId="2" borderId="15" xfId="0" applyFont="1" applyFill="1" applyBorder="1"/>
    <xf numFmtId="0" fontId="7" fillId="2" borderId="11" xfId="0" applyFont="1" applyFill="1" applyBorder="1"/>
    <xf numFmtId="0" fontId="12" fillId="4" borderId="27" xfId="0" applyFont="1" applyFill="1" applyBorder="1"/>
    <xf numFmtId="0" fontId="12" fillId="4" borderId="28" xfId="0" applyFont="1" applyFill="1" applyBorder="1"/>
    <xf numFmtId="164" fontId="4" fillId="2" borderId="1" xfId="0" applyNumberFormat="1" applyFont="1" applyFill="1" applyBorder="1"/>
    <xf numFmtId="0" fontId="7" fillId="0" borderId="0" xfId="0" applyFont="1" applyAlignment="1">
      <alignment horizontal="left"/>
    </xf>
    <xf numFmtId="0" fontId="7" fillId="2" borderId="29" xfId="0" applyFont="1" applyFill="1" applyBorder="1"/>
    <xf numFmtId="164" fontId="7" fillId="6" borderId="30" xfId="0" applyNumberFormat="1" applyFont="1" applyFill="1" applyBorder="1"/>
    <xf numFmtId="0" fontId="7" fillId="2" borderId="31" xfId="0" applyFont="1" applyFill="1" applyBorder="1"/>
    <xf numFmtId="164" fontId="7" fillId="2" borderId="32" xfId="0" applyNumberFormat="1" applyFont="1" applyFill="1" applyBorder="1"/>
    <xf numFmtId="0" fontId="7" fillId="2" borderId="33" xfId="0" applyFont="1" applyFill="1" applyBorder="1"/>
    <xf numFmtId="0" fontId="7" fillId="6" borderId="35" xfId="0" applyFont="1" applyFill="1" applyBorder="1"/>
    <xf numFmtId="164" fontId="7" fillId="6" borderId="35" xfId="0" applyNumberFormat="1" applyFont="1" applyFill="1" applyBorder="1"/>
    <xf numFmtId="164" fontId="7" fillId="6" borderId="36" xfId="0" applyNumberFormat="1" applyFont="1" applyFill="1" applyBorder="1"/>
    <xf numFmtId="0" fontId="12" fillId="0" borderId="17" xfId="0" applyFont="1" applyBorder="1" applyAlignment="1">
      <alignment horizontal="left"/>
    </xf>
    <xf numFmtId="0" fontId="11" fillId="6" borderId="35" xfId="0" applyFont="1" applyFill="1" applyBorder="1"/>
    <xf numFmtId="164" fontId="7" fillId="6" borderId="35" xfId="0" applyNumberFormat="1" applyFont="1" applyFill="1" applyBorder="1" applyAlignment="1">
      <alignment horizontal="center"/>
    </xf>
    <xf numFmtId="164" fontId="12" fillId="0" borderId="17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0" fontId="13" fillId="2" borderId="19" xfId="0" applyFont="1" applyFill="1" applyBorder="1"/>
    <xf numFmtId="0" fontId="13" fillId="2" borderId="1" xfId="0" applyFont="1" applyFill="1" applyBorder="1"/>
    <xf numFmtId="0" fontId="4" fillId="2" borderId="33" xfId="0" applyFont="1" applyFill="1" applyBorder="1" applyAlignment="1">
      <alignment horizontal="right"/>
    </xf>
    <xf numFmtId="0" fontId="14" fillId="2" borderId="33" xfId="0" applyFont="1" applyFill="1" applyBorder="1"/>
    <xf numFmtId="0" fontId="4" fillId="2" borderId="33" xfId="0" applyFont="1" applyFill="1" applyBorder="1"/>
    <xf numFmtId="0" fontId="4" fillId="2" borderId="19" xfId="0" applyFont="1" applyFill="1" applyBorder="1"/>
    <xf numFmtId="0" fontId="15" fillId="2" borderId="1" xfId="0" applyFont="1" applyFill="1" applyBorder="1" applyAlignment="1">
      <alignment horizontal="right"/>
    </xf>
    <xf numFmtId="0" fontId="16" fillId="2" borderId="1" xfId="0" applyFont="1" applyFill="1" applyBorder="1"/>
    <xf numFmtId="0" fontId="15" fillId="2" borderId="1" xfId="0" applyFont="1" applyFill="1" applyBorder="1"/>
    <xf numFmtId="0" fontId="17" fillId="2" borderId="1" xfId="0" applyFont="1" applyFill="1" applyBorder="1"/>
    <xf numFmtId="0" fontId="4" fillId="2" borderId="1" xfId="0" applyFont="1" applyFill="1" applyBorder="1" applyAlignment="1">
      <alignment horizontal="right"/>
    </xf>
    <xf numFmtId="164" fontId="17" fillId="2" borderId="1" xfId="0" applyNumberFormat="1" applyFont="1" applyFill="1" applyBorder="1"/>
    <xf numFmtId="0" fontId="17" fillId="0" borderId="0" xfId="0" applyFont="1"/>
    <xf numFmtId="0" fontId="18" fillId="2" borderId="1" xfId="0" applyFont="1" applyFill="1" applyBorder="1"/>
    <xf numFmtId="0" fontId="18" fillId="2" borderId="10" xfId="0" applyFont="1" applyFill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21" xfId="0" applyFont="1" applyBorder="1" applyAlignment="1">
      <alignment horizontal="center"/>
    </xf>
    <xf numFmtId="164" fontId="18" fillId="0" borderId="0" xfId="0" applyNumberFormat="1" applyFont="1"/>
    <xf numFmtId="164" fontId="18" fillId="0" borderId="21" xfId="0" applyNumberFormat="1" applyFont="1" applyBorder="1"/>
    <xf numFmtId="0" fontId="7" fillId="0" borderId="40" xfId="0" applyFont="1" applyBorder="1" applyAlignment="1">
      <alignment horizontal="left"/>
    </xf>
    <xf numFmtId="164" fontId="7" fillId="0" borderId="40" xfId="0" applyNumberFormat="1" applyFont="1" applyBorder="1"/>
    <xf numFmtId="164" fontId="7" fillId="0" borderId="42" xfId="0" applyNumberFormat="1" applyFont="1" applyBorder="1"/>
    <xf numFmtId="0" fontId="18" fillId="6" borderId="35" xfId="0" applyFont="1" applyFill="1" applyBorder="1"/>
    <xf numFmtId="164" fontId="18" fillId="6" borderId="35" xfId="0" applyNumberFormat="1" applyFont="1" applyFill="1" applyBorder="1"/>
    <xf numFmtId="164" fontId="18" fillId="6" borderId="36" xfId="0" applyNumberFormat="1" applyFont="1" applyFill="1" applyBorder="1"/>
    <xf numFmtId="0" fontId="7" fillId="2" borderId="43" xfId="0" applyFont="1" applyFill="1" applyBorder="1"/>
    <xf numFmtId="164" fontId="12" fillId="0" borderId="17" xfId="0" applyNumberFormat="1" applyFont="1" applyBorder="1"/>
    <xf numFmtId="164" fontId="12" fillId="0" borderId="18" xfId="0" applyNumberFormat="1" applyFont="1" applyBorder="1"/>
    <xf numFmtId="0" fontId="7" fillId="2" borderId="7" xfId="0" applyFont="1" applyFill="1" applyBorder="1"/>
    <xf numFmtId="0" fontId="22" fillId="3" borderId="35" xfId="0" applyFont="1" applyFill="1" applyBorder="1" applyAlignment="1">
      <alignment horizontal="left"/>
    </xf>
    <xf numFmtId="0" fontId="23" fillId="3" borderId="35" xfId="0" applyFont="1" applyFill="1" applyBorder="1"/>
    <xf numFmtId="164" fontId="23" fillId="3" borderId="35" xfId="0" applyNumberFormat="1" applyFont="1" applyFill="1" applyBorder="1"/>
    <xf numFmtId="164" fontId="23" fillId="3" borderId="36" xfId="0" applyNumberFormat="1" applyFont="1" applyFill="1" applyBorder="1"/>
    <xf numFmtId="0" fontId="7" fillId="0" borderId="27" xfId="0" applyFont="1" applyBorder="1"/>
    <xf numFmtId="0" fontId="7" fillId="0" borderId="44" xfId="0" applyFont="1" applyBorder="1"/>
    <xf numFmtId="0" fontId="4" fillId="8" borderId="27" xfId="0" applyFont="1" applyFill="1" applyBorder="1"/>
    <xf numFmtId="0" fontId="4" fillId="8" borderId="44" xfId="0" applyFont="1" applyFill="1" applyBorder="1"/>
    <xf numFmtId="0" fontId="4" fillId="8" borderId="45" xfId="0" applyFont="1" applyFill="1" applyBorder="1"/>
    <xf numFmtId="0" fontId="4" fillId="6" borderId="47" xfId="0" applyFont="1" applyFill="1" applyBorder="1"/>
    <xf numFmtId="0" fontId="4" fillId="6" borderId="46" xfId="0" applyFont="1" applyFill="1" applyBorder="1"/>
    <xf numFmtId="0" fontId="4" fillId="6" borderId="44" xfId="0" applyFont="1" applyFill="1" applyBorder="1"/>
    <xf numFmtId="0" fontId="4" fillId="6" borderId="28" xfId="0" applyFont="1" applyFill="1" applyBorder="1"/>
    <xf numFmtId="0" fontId="26" fillId="0" borderId="29" xfId="0" applyFont="1" applyBorder="1"/>
    <xf numFmtId="0" fontId="7" fillId="0" borderId="1" xfId="0" applyFont="1" applyBorder="1"/>
    <xf numFmtId="0" fontId="4" fillId="8" borderId="29" xfId="0" applyFont="1" applyFill="1" applyBorder="1"/>
    <xf numFmtId="0" fontId="4" fillId="8" borderId="1" xfId="0" applyFont="1" applyFill="1" applyBorder="1"/>
    <xf numFmtId="0" fontId="4" fillId="8" borderId="11" xfId="0" applyFont="1" applyFill="1" applyBorder="1"/>
    <xf numFmtId="0" fontId="4" fillId="6" borderId="48" xfId="0" applyFont="1" applyFill="1" applyBorder="1"/>
    <xf numFmtId="0" fontId="4" fillId="6" borderId="19" xfId="0" applyFont="1" applyFill="1" applyBorder="1"/>
    <xf numFmtId="0" fontId="4" fillId="6" borderId="1" xfId="0" applyFont="1" applyFill="1" applyBorder="1"/>
    <xf numFmtId="0" fontId="4" fillId="6" borderId="30" xfId="0" applyFont="1" applyFill="1" applyBorder="1"/>
    <xf numFmtId="0" fontId="7" fillId="0" borderId="29" xfId="0" applyFont="1" applyBorder="1"/>
    <xf numFmtId="0" fontId="7" fillId="0" borderId="30" xfId="0" applyFont="1" applyBorder="1"/>
    <xf numFmtId="0" fontId="27" fillId="0" borderId="31" xfId="0" applyFont="1" applyBorder="1"/>
    <xf numFmtId="0" fontId="26" fillId="0" borderId="41" xfId="0" applyFont="1" applyBorder="1"/>
    <xf numFmtId="0" fontId="4" fillId="8" borderId="31" xfId="0" applyFont="1" applyFill="1" applyBorder="1"/>
    <xf numFmtId="0" fontId="4" fillId="8" borderId="41" xfId="0" applyFont="1" applyFill="1" applyBorder="1"/>
    <xf numFmtId="0" fontId="4" fillId="8" borderId="49" xfId="0" applyFont="1" applyFill="1" applyBorder="1"/>
    <xf numFmtId="0" fontId="4" fillId="6" borderId="52" xfId="0" applyFont="1" applyFill="1" applyBorder="1"/>
    <xf numFmtId="0" fontId="4" fillId="6" borderId="50" xfId="0" applyFont="1" applyFill="1" applyBorder="1"/>
    <xf numFmtId="0" fontId="4" fillId="6" borderId="41" xfId="0" applyFont="1" applyFill="1" applyBorder="1"/>
    <xf numFmtId="0" fontId="4" fillId="6" borderId="32" xfId="0" applyFont="1" applyFill="1" applyBorder="1"/>
    <xf numFmtId="0" fontId="28" fillId="2" borderId="1" xfId="0" applyFont="1" applyFill="1" applyBorder="1"/>
    <xf numFmtId="0" fontId="7" fillId="0" borderId="31" xfId="0" applyFont="1" applyBorder="1"/>
    <xf numFmtId="0" fontId="7" fillId="0" borderId="41" xfId="0" applyFont="1" applyBorder="1"/>
    <xf numFmtId="0" fontId="7" fillId="0" borderId="32" xfId="0" applyFont="1" applyBorder="1"/>
    <xf numFmtId="0" fontId="12" fillId="2" borderId="1" xfId="0" applyFont="1" applyFill="1" applyBorder="1"/>
    <xf numFmtId="0" fontId="29" fillId="3" borderId="53" xfId="0" applyFont="1" applyFill="1" applyBorder="1"/>
    <xf numFmtId="164" fontId="7" fillId="0" borderId="24" xfId="0" applyNumberFormat="1" applyFont="1" applyBorder="1"/>
    <xf numFmtId="164" fontId="7" fillId="2" borderId="27" xfId="0" applyNumberFormat="1" applyFont="1" applyFill="1" applyBorder="1"/>
    <xf numFmtId="164" fontId="7" fillId="2" borderId="44" xfId="0" applyNumberFormat="1" applyFont="1" applyFill="1" applyBorder="1"/>
    <xf numFmtId="164" fontId="7" fillId="2" borderId="28" xfId="0" applyNumberFormat="1" applyFont="1" applyFill="1" applyBorder="1"/>
    <xf numFmtId="164" fontId="7" fillId="2" borderId="29" xfId="0" applyNumberFormat="1" applyFont="1" applyFill="1" applyBorder="1"/>
    <xf numFmtId="164" fontId="7" fillId="2" borderId="1" xfId="0" applyNumberFormat="1" applyFont="1" applyFill="1" applyBorder="1"/>
    <xf numFmtId="164" fontId="7" fillId="2" borderId="30" xfId="0" applyNumberFormat="1" applyFont="1" applyFill="1" applyBorder="1"/>
    <xf numFmtId="0" fontId="30" fillId="9" borderId="54" xfId="0" applyFont="1" applyFill="1" applyBorder="1"/>
    <xf numFmtId="0" fontId="30" fillId="9" borderId="55" xfId="0" applyFont="1" applyFill="1" applyBorder="1"/>
    <xf numFmtId="0" fontId="4" fillId="2" borderId="56" xfId="0" applyFont="1" applyFill="1" applyBorder="1"/>
    <xf numFmtId="164" fontId="4" fillId="7" borderId="57" xfId="0" applyNumberFormat="1" applyFont="1" applyFill="1" applyBorder="1"/>
    <xf numFmtId="164" fontId="7" fillId="2" borderId="58" xfId="0" applyNumberFormat="1" applyFont="1" applyFill="1" applyBorder="1"/>
    <xf numFmtId="164" fontId="7" fillId="2" borderId="10" xfId="0" applyNumberFormat="1" applyFont="1" applyFill="1" applyBorder="1"/>
    <xf numFmtId="164" fontId="7" fillId="2" borderId="59" xfId="0" applyNumberFormat="1" applyFont="1" applyFill="1" applyBorder="1"/>
    <xf numFmtId="0" fontId="4" fillId="2" borderId="60" xfId="0" applyFont="1" applyFill="1" applyBorder="1"/>
    <xf numFmtId="164" fontId="4" fillId="2" borderId="61" xfId="0" applyNumberFormat="1" applyFont="1" applyFill="1" applyBorder="1"/>
    <xf numFmtId="164" fontId="7" fillId="6" borderId="62" xfId="0" applyNumberFormat="1" applyFont="1" applyFill="1" applyBorder="1"/>
    <xf numFmtId="0" fontId="7" fillId="2" borderId="27" xfId="0" applyFont="1" applyFill="1" applyBorder="1"/>
    <xf numFmtId="0" fontId="7" fillId="2" borderId="44" xfId="0" applyFont="1" applyFill="1" applyBorder="1"/>
    <xf numFmtId="0" fontId="7" fillId="2" borderId="28" xfId="0" applyFont="1" applyFill="1" applyBorder="1"/>
    <xf numFmtId="164" fontId="7" fillId="2" borderId="31" xfId="0" applyNumberFormat="1" applyFont="1" applyFill="1" applyBorder="1"/>
    <xf numFmtId="164" fontId="7" fillId="2" borderId="41" xfId="0" applyNumberFormat="1" applyFont="1" applyFill="1" applyBorder="1"/>
    <xf numFmtId="164" fontId="7" fillId="6" borderId="34" xfId="0" applyNumberFormat="1" applyFont="1" applyFill="1" applyBorder="1"/>
    <xf numFmtId="164" fontId="7" fillId="10" borderId="36" xfId="0" applyNumberFormat="1" applyFont="1" applyFill="1" applyBorder="1"/>
    <xf numFmtId="164" fontId="7" fillId="10" borderId="62" xfId="0" applyNumberFormat="1" applyFont="1" applyFill="1" applyBorder="1"/>
    <xf numFmtId="164" fontId="7" fillId="10" borderId="35" xfId="0" applyNumberFormat="1" applyFont="1" applyFill="1" applyBorder="1"/>
    <xf numFmtId="164" fontId="7" fillId="10" borderId="5" xfId="0" applyNumberFormat="1" applyFont="1" applyFill="1" applyBorder="1"/>
    <xf numFmtId="164" fontId="7" fillId="11" borderId="36" xfId="0" applyNumberFormat="1" applyFont="1" applyFill="1" applyBorder="1"/>
    <xf numFmtId="164" fontId="7" fillId="12" borderId="53" xfId="0" applyNumberFormat="1" applyFont="1" applyFill="1" applyBorder="1"/>
    <xf numFmtId="0" fontId="12" fillId="13" borderId="16" xfId="0" applyFont="1" applyFill="1" applyBorder="1"/>
    <xf numFmtId="0" fontId="7" fillId="13" borderId="17" xfId="0" applyFont="1" applyFill="1" applyBorder="1"/>
    <xf numFmtId="0" fontId="7" fillId="13" borderId="18" xfId="0" applyFont="1" applyFill="1" applyBorder="1"/>
    <xf numFmtId="164" fontId="7" fillId="13" borderId="18" xfId="0" applyNumberFormat="1" applyFont="1" applyFill="1" applyBorder="1"/>
    <xf numFmtId="164" fontId="7" fillId="13" borderId="53" xfId="0" applyNumberFormat="1" applyFont="1" applyFill="1" applyBorder="1"/>
    <xf numFmtId="0" fontId="7" fillId="0" borderId="0" xfId="0" applyFont="1"/>
    <xf numFmtId="0" fontId="20" fillId="2" borderId="1" xfId="0" applyFont="1" applyFill="1" applyBorder="1"/>
    <xf numFmtId="0" fontId="31" fillId="0" borderId="0" xfId="0" applyFont="1"/>
    <xf numFmtId="0" fontId="5" fillId="2" borderId="33" xfId="0" applyFont="1" applyFill="1" applyBorder="1" applyAlignment="1">
      <alignment vertical="center"/>
    </xf>
    <xf numFmtId="0" fontId="18" fillId="2" borderId="33" xfId="0" applyFont="1" applyFill="1" applyBorder="1"/>
    <xf numFmtId="164" fontId="7" fillId="2" borderId="46" xfId="0" applyNumberFormat="1" applyFont="1" applyFill="1" applyBorder="1"/>
    <xf numFmtId="164" fontId="7" fillId="2" borderId="33" xfId="0" applyNumberFormat="1" applyFont="1" applyFill="1" applyBorder="1"/>
    <xf numFmtId="0" fontId="7" fillId="2" borderId="46" xfId="0" applyFont="1" applyFill="1" applyBorder="1"/>
    <xf numFmtId="164" fontId="7" fillId="2" borderId="50" xfId="0" applyNumberFormat="1" applyFont="1" applyFill="1" applyBorder="1"/>
    <xf numFmtId="164" fontId="7" fillId="13" borderId="36" xfId="0" applyNumberFormat="1" applyFont="1" applyFill="1" applyBorder="1"/>
    <xf numFmtId="165" fontId="4" fillId="2" borderId="33" xfId="1" applyNumberFormat="1" applyFont="1" applyFill="1" applyBorder="1"/>
    <xf numFmtId="165" fontId="4" fillId="2" borderId="33" xfId="0" applyNumberFormat="1" applyFont="1" applyFill="1" applyBorder="1"/>
    <xf numFmtId="0" fontId="7" fillId="14" borderId="1" xfId="0" applyFont="1" applyFill="1" applyBorder="1"/>
    <xf numFmtId="164" fontId="7" fillId="14" borderId="1" xfId="0" applyNumberFormat="1" applyFont="1" applyFill="1" applyBorder="1"/>
    <xf numFmtId="0" fontId="7" fillId="14" borderId="10" xfId="0" applyFont="1" applyFill="1" applyBorder="1"/>
    <xf numFmtId="164" fontId="7" fillId="14" borderId="10" xfId="0" applyNumberFormat="1" applyFont="1" applyFill="1" applyBorder="1"/>
    <xf numFmtId="0" fontId="7" fillId="15" borderId="1" xfId="0" applyFont="1" applyFill="1" applyBorder="1"/>
    <xf numFmtId="164" fontId="7" fillId="15" borderId="1" xfId="0" applyNumberFormat="1" applyFont="1" applyFill="1" applyBorder="1"/>
    <xf numFmtId="0" fontId="7" fillId="15" borderId="10" xfId="0" applyFont="1" applyFill="1" applyBorder="1"/>
    <xf numFmtId="164" fontId="7" fillId="15" borderId="10" xfId="0" applyNumberFormat="1" applyFont="1" applyFill="1" applyBorder="1"/>
    <xf numFmtId="0" fontId="7" fillId="15" borderId="41" xfId="0" applyFont="1" applyFill="1" applyBorder="1"/>
    <xf numFmtId="164" fontId="7" fillId="15" borderId="41" xfId="0" applyNumberFormat="1" applyFont="1" applyFill="1" applyBorder="1"/>
    <xf numFmtId="0" fontId="18" fillId="16" borderId="10" xfId="0" applyFont="1" applyFill="1" applyBorder="1"/>
    <xf numFmtId="164" fontId="18" fillId="16" borderId="10" xfId="0" applyNumberFormat="1" applyFont="1" applyFill="1" applyBorder="1"/>
    <xf numFmtId="0" fontId="7" fillId="0" borderId="20" xfId="0" applyFont="1" applyBorder="1" applyAlignment="1">
      <alignment horizontal="left"/>
    </xf>
    <xf numFmtId="0" fontId="0" fillId="0" borderId="0" xfId="0"/>
    <xf numFmtId="0" fontId="12" fillId="5" borderId="37" xfId="0" applyFont="1" applyFill="1" applyBorder="1" applyAlignment="1">
      <alignment horizontal="left"/>
    </xf>
    <xf numFmtId="0" fontId="3" fillId="0" borderId="8" xfId="0" applyFont="1" applyBorder="1"/>
    <xf numFmtId="0" fontId="3" fillId="0" borderId="38" xfId="0" applyFont="1" applyBorder="1"/>
    <xf numFmtId="0" fontId="12" fillId="0" borderId="16" xfId="0" applyFont="1" applyBorder="1" applyAlignment="1">
      <alignment horizontal="left"/>
    </xf>
    <xf numFmtId="0" fontId="3" fillId="0" borderId="17" xfId="0" applyFont="1" applyBorder="1"/>
    <xf numFmtId="0" fontId="12" fillId="6" borderId="16" xfId="0" applyFont="1" applyFill="1" applyBorder="1" applyAlignment="1">
      <alignment horizontal="left"/>
    </xf>
    <xf numFmtId="0" fontId="3" fillId="0" borderId="34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9" fillId="3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0" fillId="4" borderId="16" xfId="0" applyFont="1" applyFill="1" applyBorder="1" applyAlignment="1">
      <alignment horizontal="center"/>
    </xf>
    <xf numFmtId="0" fontId="3" fillId="0" borderId="18" xfId="0" applyFont="1" applyBorder="1"/>
    <xf numFmtId="0" fontId="11" fillId="0" borderId="20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3" fillId="0" borderId="23" xfId="0" applyFont="1" applyBorder="1"/>
    <xf numFmtId="0" fontId="12" fillId="5" borderId="25" xfId="0" applyFont="1" applyFill="1" applyBorder="1" applyAlignment="1">
      <alignment horizontal="left"/>
    </xf>
    <xf numFmtId="0" fontId="3" fillId="0" borderId="15" xfId="0" applyFont="1" applyBorder="1"/>
    <xf numFmtId="0" fontId="3" fillId="0" borderId="26" xfId="0" applyFont="1" applyBorder="1"/>
    <xf numFmtId="164" fontId="7" fillId="0" borderId="11" xfId="0" applyNumberFormat="1" applyFont="1" applyBorder="1" applyAlignment="1">
      <alignment horizontal="center"/>
    </xf>
    <xf numFmtId="0" fontId="3" fillId="0" borderId="19" xfId="0" applyFont="1" applyBorder="1"/>
    <xf numFmtId="164" fontId="7" fillId="0" borderId="49" xfId="0" applyNumberFormat="1" applyFont="1" applyBorder="1" applyAlignment="1">
      <alignment horizontal="center"/>
    </xf>
    <xf numFmtId="0" fontId="3" fillId="0" borderId="50" xfId="0" applyFont="1" applyBorder="1"/>
    <xf numFmtId="0" fontId="3" fillId="0" borderId="51" xfId="0" applyFont="1" applyBorder="1"/>
    <xf numFmtId="0" fontId="10" fillId="6" borderId="16" xfId="0" applyFont="1" applyFill="1" applyBorder="1" applyAlignment="1">
      <alignment horizontal="center"/>
    </xf>
    <xf numFmtId="0" fontId="25" fillId="0" borderId="45" xfId="0" applyFont="1" applyBorder="1" applyAlignment="1">
      <alignment horizontal="center"/>
    </xf>
    <xf numFmtId="0" fontId="3" fillId="0" borderId="46" xfId="0" applyFont="1" applyBorder="1"/>
    <xf numFmtId="0" fontId="24" fillId="4" borderId="16" xfId="0" applyFont="1" applyFill="1" applyBorder="1" applyAlignment="1">
      <alignment horizontal="center"/>
    </xf>
    <xf numFmtId="0" fontId="22" fillId="3" borderId="16" xfId="0" applyFont="1" applyFill="1" applyBorder="1" applyAlignment="1">
      <alignment horizontal="left"/>
    </xf>
    <xf numFmtId="0" fontId="19" fillId="3" borderId="12" xfId="0" applyFont="1" applyFill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8" fillId="0" borderId="20" xfId="0" applyFont="1" applyBorder="1" applyAlignment="1">
      <alignment horizontal="left"/>
    </xf>
    <xf numFmtId="0" fontId="21" fillId="6" borderId="16" xfId="0" applyFont="1" applyFill="1" applyBorder="1" applyAlignment="1">
      <alignment horizontal="left"/>
    </xf>
    <xf numFmtId="0" fontId="7" fillId="0" borderId="39" xfId="0" applyFont="1" applyBorder="1" applyAlignment="1">
      <alignment horizontal="left"/>
    </xf>
    <xf numFmtId="0" fontId="3" fillId="0" borderId="40" xfId="0" applyFont="1" applyBorder="1"/>
    <xf numFmtId="0" fontId="12" fillId="10" borderId="16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center"/>
    </xf>
    <xf numFmtId="0" fontId="12" fillId="10" borderId="63" xfId="0" applyFont="1" applyFill="1" applyBorder="1" applyAlignment="1">
      <alignment horizontal="left"/>
    </xf>
    <xf numFmtId="0" fontId="10" fillId="4" borderId="35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33" xfId="0" applyFont="1" applyBorder="1"/>
    <xf numFmtId="0" fontId="10" fillId="5" borderId="22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39" xfId="0" applyFont="1" applyBorder="1"/>
    <xf numFmtId="0" fontId="3" fillId="0" borderId="42" xfId="0" applyFont="1" applyBorder="1"/>
    <xf numFmtId="0" fontId="10" fillId="5" borderId="16" xfId="0" applyFont="1" applyFill="1" applyBorder="1" applyAlignment="1">
      <alignment horizontal="center"/>
    </xf>
    <xf numFmtId="0" fontId="10" fillId="5" borderId="35" xfId="0" applyFont="1" applyFill="1" applyBorder="1" applyAlignment="1">
      <alignment horizontal="center"/>
    </xf>
    <xf numFmtId="0" fontId="7" fillId="0" borderId="22" xfId="0" applyFont="1" applyBorder="1" applyAlignment="1">
      <alignment horizontal="left"/>
    </xf>
    <xf numFmtId="0" fontId="12" fillId="11" borderId="16" xfId="0" applyFont="1" applyFill="1" applyBorder="1" applyAlignment="1">
      <alignment horizontal="left"/>
    </xf>
    <xf numFmtId="0" fontId="29" fillId="3" borderId="33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033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Calibri"/>
              </a:defRPr>
            </a:pPr>
            <a:r>
              <a:rPr lang="es-CO" sz="1800" b="1" i="0">
                <a:solidFill>
                  <a:schemeClr val="dk1"/>
                </a:solidFill>
                <a:latin typeface="Calibri"/>
              </a:rPr>
              <a:t>¿En qué estás gastando?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5058"/>
              </a:solidFill>
            </c:spPr>
            <c:extLst>
              <c:ext xmlns:c16="http://schemas.microsoft.com/office/drawing/2014/chart" uri="{C3380CC4-5D6E-409C-BE32-E72D297353CC}">
                <c16:uniqueId val="{00000001-658D-44CB-97FA-47CFB806DA6E}"/>
              </c:ext>
            </c:extLst>
          </c:dPt>
          <c:dPt>
            <c:idx val="1"/>
            <c:bubble3D val="0"/>
            <c:spPr>
              <a:solidFill>
                <a:srgbClr val="DF807D"/>
              </a:solidFill>
            </c:spPr>
            <c:extLst>
              <c:ext xmlns:c16="http://schemas.microsoft.com/office/drawing/2014/chart" uri="{C3380CC4-5D6E-409C-BE32-E72D297353CC}">
                <c16:uniqueId val="{00000003-658D-44CB-97FA-47CFB806DA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658D-44CB-97FA-47CFB806DA6E}"/>
              </c:ext>
            </c:extLst>
          </c:dPt>
          <c:dPt>
            <c:idx val="3"/>
            <c:bubble3D val="0"/>
            <c:spPr>
              <a:solidFill>
                <a:srgbClr val="CCD84B"/>
              </a:solidFill>
            </c:spPr>
            <c:extLst>
              <c:ext xmlns:c16="http://schemas.microsoft.com/office/drawing/2014/chart" uri="{C3380CC4-5D6E-409C-BE32-E72D297353CC}">
                <c16:uniqueId val="{00000007-658D-44CB-97FA-47CFB806DA6E}"/>
              </c:ext>
            </c:extLst>
          </c:dPt>
          <c:dPt>
            <c:idx val="4"/>
            <c:bubble3D val="0"/>
            <c:spPr>
              <a:solidFill>
                <a:srgbClr val="77BE7D"/>
              </a:solidFill>
            </c:spPr>
            <c:extLst>
              <c:ext xmlns:c16="http://schemas.microsoft.com/office/drawing/2014/chart" uri="{C3380CC4-5D6E-409C-BE32-E72D297353CC}">
                <c16:uniqueId val="{00000009-658D-44CB-97FA-47CFB806DA6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658D-44CB-97FA-47CFB806DA6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58D-44CB-97FA-47CFB806DA6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Presupuesto!$Y$24:$Y$29</c:f>
              <c:strCache>
                <c:ptCount val="6"/>
                <c:pt idx="0">
                  <c:v>Hogar</c:v>
                </c:pt>
                <c:pt idx="1">
                  <c:v>Comida</c:v>
                </c:pt>
                <c:pt idx="2">
                  <c:v>Transporte</c:v>
                </c:pt>
                <c:pt idx="3">
                  <c:v>Créditos/ Deudas</c:v>
                </c:pt>
                <c:pt idx="4">
                  <c:v>Entretenimiento</c:v>
                </c:pt>
                <c:pt idx="5">
                  <c:v>Familia</c:v>
                </c:pt>
              </c:strCache>
            </c:strRef>
          </c:cat>
          <c:val>
            <c:numRef>
              <c:f>Presupuesto!$Z$24:$Z$29</c:f>
              <c:numCache>
                <c:formatCode>_-"$"\ * #,##0_-;\-"$"\ * #,##0_-;_-"$"\ * "-"_-;_-@</c:formatCode>
                <c:ptCount val="6"/>
                <c:pt idx="0">
                  <c:v>6960</c:v>
                </c:pt>
                <c:pt idx="1">
                  <c:v>9000</c:v>
                </c:pt>
                <c:pt idx="2">
                  <c:v>0</c:v>
                </c:pt>
                <c:pt idx="3">
                  <c:v>2400</c:v>
                </c:pt>
                <c:pt idx="4">
                  <c:v>2000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8D-44CB-97FA-47CFB806D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Calibri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chemeClr val="dk1"/>
                </a:solidFill>
                <a:latin typeface="Calibri"/>
              </a:defRPr>
            </a:pPr>
            <a:r>
              <a:rPr lang="es-CO" sz="1800" b="1" i="0">
                <a:solidFill>
                  <a:schemeClr val="dk1"/>
                </a:solidFill>
                <a:latin typeface="Calibri"/>
              </a:rPr>
              <a:t>¿De dónde vienen tus ingresos?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5058"/>
              </a:solidFill>
            </c:spPr>
            <c:extLst>
              <c:ext xmlns:c16="http://schemas.microsoft.com/office/drawing/2014/chart" uri="{C3380CC4-5D6E-409C-BE32-E72D297353CC}">
                <c16:uniqueId val="{00000001-1E87-4E7A-AEAC-4C792D3E97F6}"/>
              </c:ext>
            </c:extLst>
          </c:dPt>
          <c:dPt>
            <c:idx val="1"/>
            <c:bubble3D val="0"/>
            <c:spPr>
              <a:solidFill>
                <a:srgbClr val="CCD84B"/>
              </a:solidFill>
            </c:spPr>
            <c:extLst>
              <c:ext xmlns:c16="http://schemas.microsoft.com/office/drawing/2014/chart" uri="{C3380CC4-5D6E-409C-BE32-E72D297353CC}">
                <c16:uniqueId val="{00000003-1E87-4E7A-AEAC-4C792D3E97F6}"/>
              </c:ext>
            </c:extLst>
          </c:dPt>
          <c:dPt>
            <c:idx val="2"/>
            <c:bubble3D val="0"/>
            <c:spPr>
              <a:solidFill>
                <a:srgbClr val="E5E4E2"/>
              </a:solidFill>
            </c:spPr>
            <c:extLst>
              <c:ext xmlns:c16="http://schemas.microsoft.com/office/drawing/2014/chart" uri="{C3380CC4-5D6E-409C-BE32-E72D297353CC}">
                <c16:uniqueId val="{00000005-1E87-4E7A-AEAC-4C792D3E97F6}"/>
              </c:ext>
            </c:extLst>
          </c:dPt>
          <c:dPt>
            <c:idx val="3"/>
            <c:bubble3D val="0"/>
            <c:spPr>
              <a:solidFill>
                <a:srgbClr val="77BE7D"/>
              </a:solidFill>
            </c:spPr>
            <c:extLst>
              <c:ext xmlns:c16="http://schemas.microsoft.com/office/drawing/2014/chart" uri="{C3380CC4-5D6E-409C-BE32-E72D297353CC}">
                <c16:uniqueId val="{00000007-1E87-4E7A-AEAC-4C792D3E97F6}"/>
              </c:ext>
            </c:extLst>
          </c:dPt>
          <c:dPt>
            <c:idx val="4"/>
            <c:bubble3D val="0"/>
            <c:spPr>
              <a:solidFill>
                <a:srgbClr val="CCD84B"/>
              </a:solidFill>
            </c:spPr>
            <c:extLst>
              <c:ext xmlns:c16="http://schemas.microsoft.com/office/drawing/2014/chart" uri="{C3380CC4-5D6E-409C-BE32-E72D297353CC}">
                <c16:uniqueId val="{00000009-1E87-4E7A-AEAC-4C792D3E97F6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1E87-4E7A-AEAC-4C792D3E97F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Presupuesto!$AB$24:$AB$28</c:f>
              <c:strCache>
                <c:ptCount val="5"/>
                <c:pt idx="0">
                  <c:v>Salario</c:v>
                </c:pt>
                <c:pt idx="1">
                  <c:v>Bonos</c:v>
                </c:pt>
                <c:pt idx="2">
                  <c:v>Dividendos</c:v>
                </c:pt>
                <c:pt idx="3">
                  <c:v>Comisiones</c:v>
                </c:pt>
                <c:pt idx="4">
                  <c:v>Otros</c:v>
                </c:pt>
              </c:strCache>
            </c:strRef>
          </c:cat>
          <c:val>
            <c:numRef>
              <c:f>Presupuesto!$AC$24:$AC$28</c:f>
              <c:numCache>
                <c:formatCode>_-"$"\ * #,##0_-;\-"$"\ * #,##0_-;_-"$"\ * "-"_-;_-@</c:formatCode>
                <c:ptCount val="5"/>
                <c:pt idx="0">
                  <c:v>24000</c:v>
                </c:pt>
                <c:pt idx="1">
                  <c:v>400</c:v>
                </c:pt>
                <c:pt idx="2">
                  <c:v>1000</c:v>
                </c:pt>
                <c:pt idx="3">
                  <c:v>1200</c:v>
                </c:pt>
                <c:pt idx="4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87-4E7A-AEAC-4C792D3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Calibri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dk1"/>
                </a:solidFill>
                <a:latin typeface="Calibri Light"/>
              </a:defRPr>
            </a:pPr>
            <a:r>
              <a:rPr lang="es-CO" sz="1600" b="1" i="0">
                <a:solidFill>
                  <a:schemeClr val="dk1"/>
                </a:solidFill>
                <a:latin typeface="Calibri Light"/>
              </a:rPr>
              <a:t>Tipo de Gasto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Presupuesto!$AA$16</c:f>
              <c:strCache>
                <c:ptCount val="1"/>
                <c:pt idx="0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rgbClr val="005058"/>
              </a:solidFill>
            </c:spPr>
            <c:extLst>
              <c:ext xmlns:c16="http://schemas.microsoft.com/office/drawing/2014/chart" uri="{C3380CC4-5D6E-409C-BE32-E72D297353CC}">
                <c16:uniqueId val="{00000001-7129-48A5-ABF4-F831E35F892B}"/>
              </c:ext>
            </c:extLst>
          </c:dPt>
          <c:dPt>
            <c:idx val="1"/>
            <c:bubble3D val="0"/>
            <c:spPr>
              <a:solidFill>
                <a:srgbClr val="DF807D"/>
              </a:solidFill>
            </c:spPr>
            <c:extLst>
              <c:ext xmlns:c16="http://schemas.microsoft.com/office/drawing/2014/chart" uri="{C3380CC4-5D6E-409C-BE32-E72D297353CC}">
                <c16:uniqueId val="{00000003-7129-48A5-ABF4-F831E35F892B}"/>
              </c:ext>
            </c:extLst>
          </c:dPt>
          <c:dPt>
            <c:idx val="2"/>
            <c:bubble3D val="0"/>
            <c:spPr>
              <a:solidFill>
                <a:srgbClr val="E5E4E2"/>
              </a:solidFill>
            </c:spPr>
            <c:extLst>
              <c:ext xmlns:c16="http://schemas.microsoft.com/office/drawing/2014/chart" uri="{C3380CC4-5D6E-409C-BE32-E72D297353CC}">
                <c16:uniqueId val="{00000005-7129-48A5-ABF4-F831E35F892B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129-48A5-ABF4-F831E35F89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Presupuesto!$Z$17:$Z$19</c:f>
              <c:strCache>
                <c:ptCount val="3"/>
                <c:pt idx="0">
                  <c:v>Esenciales</c:v>
                </c:pt>
                <c:pt idx="1">
                  <c:v>No Esenciales</c:v>
                </c:pt>
                <c:pt idx="2">
                  <c:v>Crédito Deuda</c:v>
                </c:pt>
              </c:strCache>
            </c:strRef>
          </c:cat>
          <c:val>
            <c:numRef>
              <c:f>Presupuesto!$AA$17:$AA$19</c:f>
              <c:numCache>
                <c:formatCode>_-"$"\ * #,##0_-;\-"$"\ * #,##0_-;_-"$"\ * "-"_-;_-@</c:formatCode>
                <c:ptCount val="3"/>
                <c:pt idx="0">
                  <c:v>13920</c:v>
                </c:pt>
                <c:pt idx="1">
                  <c:v>4040</c:v>
                </c:pt>
                <c:pt idx="2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29-48A5-ABF4-F831E35F8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Calibri"/>
            </a:defRPr>
          </a:pPr>
          <a:endParaRPr lang="es-CO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4.pn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704850</xdr:colOff>
      <xdr:row>44</xdr:row>
      <xdr:rowOff>9525</xdr:rowOff>
    </xdr:from>
    <xdr:ext cx="5124450" cy="1943100"/>
    <xdr:graphicFrame macro="">
      <xdr:nvGraphicFramePr>
        <xdr:cNvPr id="1483346785" name="Chart 1" title="Gráfico">
          <a:extLst>
            <a:ext uri="{FF2B5EF4-FFF2-40B4-BE49-F238E27FC236}">
              <a16:creationId xmlns:a16="http://schemas.microsoft.com/office/drawing/2014/main" id="{00000000-0008-0000-0000-000061136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19050</xdr:colOff>
      <xdr:row>44</xdr:row>
      <xdr:rowOff>9525</xdr:rowOff>
    </xdr:from>
    <xdr:ext cx="4733925" cy="1933575"/>
    <xdr:graphicFrame macro="">
      <xdr:nvGraphicFramePr>
        <xdr:cNvPr id="1502502074" name="Chart 2" title="Gráfico">
          <a:extLst>
            <a:ext uri="{FF2B5EF4-FFF2-40B4-BE49-F238E27FC236}">
              <a16:creationId xmlns:a16="http://schemas.microsoft.com/office/drawing/2014/main" id="{00000000-0008-0000-0000-0000BA5C8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20</xdr:col>
      <xdr:colOff>152400</xdr:colOff>
      <xdr:row>44</xdr:row>
      <xdr:rowOff>9525</xdr:rowOff>
    </xdr:from>
    <xdr:ext cx="3419475" cy="1933575"/>
    <xdr:graphicFrame macro="">
      <xdr:nvGraphicFramePr>
        <xdr:cNvPr id="1406762885" name="Chart 3" title="Gráfico">
          <a:extLst>
            <a:ext uri="{FF2B5EF4-FFF2-40B4-BE49-F238E27FC236}">
              <a16:creationId xmlns:a16="http://schemas.microsoft.com/office/drawing/2014/main" id="{00000000-0008-0000-0000-0000857FD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885825</xdr:colOff>
      <xdr:row>0</xdr:row>
      <xdr:rowOff>0</xdr:rowOff>
    </xdr:from>
    <xdr:ext cx="20040600" cy="2428875"/>
    <xdr:pic>
      <xdr:nvPicPr>
        <xdr:cNvPr id="2" name="image4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64</xdr:row>
      <xdr:rowOff>200025</xdr:rowOff>
    </xdr:from>
    <xdr:ext cx="2314575" cy="438150"/>
    <xdr:pic>
      <xdr:nvPicPr>
        <xdr:cNvPr id="3" name="image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66675</xdr:colOff>
      <xdr:row>67</xdr:row>
      <xdr:rowOff>38100</xdr:rowOff>
    </xdr:from>
    <xdr:ext cx="2581275" cy="6286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400050</xdr:colOff>
      <xdr:row>64</xdr:row>
      <xdr:rowOff>123825</xdr:rowOff>
    </xdr:from>
    <xdr:ext cx="4781550" cy="361950"/>
    <xdr:pic>
      <xdr:nvPicPr>
        <xdr:cNvPr id="5" name="image2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1</xdr:row>
      <xdr:rowOff>66675</xdr:rowOff>
    </xdr:from>
    <xdr:ext cx="10906125" cy="1323975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714375</xdr:colOff>
      <xdr:row>1</xdr:row>
      <xdr:rowOff>66675</xdr:rowOff>
    </xdr:from>
    <xdr:ext cx="10906125" cy="1323975"/>
    <xdr:pic>
      <xdr:nvPicPr>
        <xdr:cNvPr id="2" name="image5.png" title="Imagen">
          <a:extLst>
            <a:ext uri="{FF2B5EF4-FFF2-40B4-BE49-F238E27FC236}">
              <a16:creationId xmlns:a16="http://schemas.microsoft.com/office/drawing/2014/main" id="{7AC4C4CA-BD65-4496-97F7-BA864A6D7F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" y="257175"/>
          <a:ext cx="1090612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21</xdr:row>
      <xdr:rowOff>144780</xdr:rowOff>
    </xdr:from>
    <xdr:ext cx="4314825" cy="323850"/>
    <xdr:pic>
      <xdr:nvPicPr>
        <xdr:cNvPr id="3" name="image2.png" title="Imagen">
          <a:extLst>
            <a:ext uri="{FF2B5EF4-FFF2-40B4-BE49-F238E27FC236}">
              <a16:creationId xmlns:a16="http://schemas.microsoft.com/office/drawing/2014/main" id="{DAD28905-18C3-44BF-B6A3-4359F2C84C8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11540" y="4876800"/>
          <a:ext cx="4314825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</xdr:row>
      <xdr:rowOff>76200</xdr:rowOff>
    </xdr:from>
    <xdr:ext cx="2333625" cy="5715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AD012DA7-BBFB-4AEC-AFBD-A0D6BB13FC16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59415" y="15171420"/>
          <a:ext cx="233362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22</xdr:row>
      <xdr:rowOff>200025</xdr:rowOff>
    </xdr:from>
    <xdr:ext cx="2314575" cy="438150"/>
    <xdr:pic>
      <xdr:nvPicPr>
        <xdr:cNvPr id="5" name="image3.png" title="Imagen">
          <a:extLst>
            <a:ext uri="{FF2B5EF4-FFF2-40B4-BE49-F238E27FC236}">
              <a16:creationId xmlns:a16="http://schemas.microsoft.com/office/drawing/2014/main" id="{5DBD9DDB-F4FD-4B06-A2E9-33DEB25C9966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36295" y="14899005"/>
          <a:ext cx="2314575" cy="43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zoomScale="68" zoomScaleNormal="85" workbookViewId="0">
      <selection activeCell="E24" sqref="E24"/>
    </sheetView>
  </sheetViews>
  <sheetFormatPr baseColWidth="10" defaultColWidth="12.58203125" defaultRowHeight="15" customHeight="1"/>
  <cols>
    <col min="1" max="1" width="12.9140625" customWidth="1"/>
    <col min="2" max="2" width="15.4140625" customWidth="1"/>
    <col min="3" max="3" width="13.58203125" customWidth="1"/>
    <col min="4" max="4" width="19.08203125" customWidth="1"/>
    <col min="5" max="5" width="13" customWidth="1"/>
    <col min="6" max="6" width="12.4140625" customWidth="1"/>
    <col min="7" max="7" width="13.5" customWidth="1"/>
    <col min="8" max="8" width="4.1640625" customWidth="1"/>
    <col min="9" max="9" width="11.08203125" customWidth="1"/>
    <col min="10" max="10" width="14.1640625" customWidth="1"/>
    <col min="11" max="11" width="8.08203125" customWidth="1"/>
    <col min="12" max="12" width="13.58203125" customWidth="1"/>
    <col min="13" max="13" width="12.4140625" customWidth="1"/>
    <col min="15" max="15" width="13.58203125" customWidth="1"/>
    <col min="16" max="16" width="2.58203125" customWidth="1"/>
    <col min="17" max="17" width="12.08203125" customWidth="1"/>
    <col min="18" max="18" width="20.58203125" customWidth="1"/>
    <col min="19" max="19" width="7.4140625" customWidth="1"/>
    <col min="20" max="20" width="13.58203125" customWidth="1"/>
    <col min="21" max="22" width="12.08203125" customWidth="1"/>
    <col min="23" max="23" width="13" customWidth="1"/>
    <col min="24" max="24" width="10" customWidth="1"/>
    <col min="25" max="25" width="3.4140625" customWidth="1"/>
    <col min="26" max="26" width="19.08203125" customWidth="1"/>
    <col min="27" max="27" width="13" customWidth="1"/>
    <col min="28" max="28" width="10" customWidth="1"/>
    <col min="29" max="29" width="12.08203125" customWidth="1"/>
    <col min="30" max="31" width="10" customWidth="1"/>
    <col min="32" max="32" width="12.08203125" customWidth="1"/>
  </cols>
  <sheetData>
    <row r="1" spans="1:32" ht="15" customHeight="1">
      <c r="A1" s="1"/>
      <c r="B1" s="1"/>
      <c r="C1" s="176" t="s">
        <v>0</v>
      </c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8"/>
      <c r="X1" s="2"/>
      <c r="Y1" s="2"/>
      <c r="Z1" s="2"/>
      <c r="AA1" s="2"/>
      <c r="AB1" s="2"/>
      <c r="AC1" s="2"/>
      <c r="AD1" s="2"/>
      <c r="AE1" s="2"/>
      <c r="AF1" s="2"/>
    </row>
    <row r="2" spans="1:32" ht="15" customHeight="1">
      <c r="A2" s="1"/>
      <c r="B2" s="1"/>
      <c r="C2" s="179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80"/>
      <c r="X2" s="2"/>
      <c r="Y2" s="2"/>
      <c r="Z2" s="2"/>
      <c r="AA2" s="2"/>
      <c r="AB2" s="2"/>
      <c r="AC2" s="2"/>
      <c r="AD2" s="2"/>
      <c r="AE2" s="2"/>
      <c r="AF2" s="2"/>
    </row>
    <row r="3" spans="1:32" ht="15" customHeight="1">
      <c r="A3" s="1"/>
      <c r="B3" s="1"/>
      <c r="C3" s="179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80"/>
      <c r="X3" s="2"/>
      <c r="Y3" s="2"/>
      <c r="Z3" s="2"/>
      <c r="AA3" s="2"/>
      <c r="AB3" s="2"/>
      <c r="AC3" s="2"/>
      <c r="AD3" s="2"/>
      <c r="AE3" s="2"/>
      <c r="AF3" s="2"/>
    </row>
    <row r="4" spans="1:32" ht="57" customHeight="1">
      <c r="A4" s="1"/>
      <c r="B4" s="1"/>
      <c r="C4" s="179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80"/>
      <c r="X4" s="2"/>
      <c r="Y4" s="2"/>
      <c r="Z4" s="2"/>
      <c r="AA4" s="2"/>
      <c r="AB4" s="2"/>
      <c r="AC4" s="2"/>
      <c r="AD4" s="2"/>
      <c r="AE4" s="2"/>
      <c r="AF4" s="2"/>
    </row>
    <row r="5" spans="1:32" ht="129" customHeight="1">
      <c r="A5" s="1"/>
      <c r="B5" s="1"/>
      <c r="C5" s="181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82"/>
      <c r="X5" s="2"/>
      <c r="Y5" s="2"/>
      <c r="Z5" s="2"/>
      <c r="AA5" s="2"/>
      <c r="AB5" s="2"/>
      <c r="AC5" s="2"/>
      <c r="AD5" s="2"/>
      <c r="AE5" s="2"/>
      <c r="AF5" s="2"/>
    </row>
    <row r="6" spans="1:32" ht="15" customHeight="1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5">
      <c r="A7" s="2"/>
      <c r="B7" s="4" t="s">
        <v>1</v>
      </c>
      <c r="C7" s="5"/>
      <c r="D7" s="5"/>
      <c r="E7" s="5"/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4.5">
      <c r="A8" s="2"/>
      <c r="B8" s="5" t="s">
        <v>2</v>
      </c>
      <c r="C8" s="5"/>
      <c r="D8" s="5"/>
      <c r="E8" s="5"/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4.5">
      <c r="A9" s="2"/>
      <c r="B9" s="5" t="s">
        <v>3</v>
      </c>
      <c r="C9" s="5"/>
      <c r="D9" s="5"/>
      <c r="E9" s="5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4.5">
      <c r="A10" s="2"/>
      <c r="B10" s="5" t="s">
        <v>4</v>
      </c>
      <c r="C10" s="5"/>
      <c r="D10" s="5"/>
      <c r="E10" s="5"/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4.5">
      <c r="A11" s="2"/>
      <c r="B11" s="5" t="s">
        <v>5</v>
      </c>
      <c r="C11" s="5"/>
      <c r="D11" s="5"/>
      <c r="E11" s="5"/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4.5">
      <c r="A13" s="2"/>
      <c r="B13" s="7"/>
      <c r="C13" s="7"/>
      <c r="D13" s="7"/>
      <c r="E13" s="7"/>
      <c r="F13" s="7"/>
      <c r="G13" s="7"/>
      <c r="H13" s="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5"/>
      <c r="Y13" s="5"/>
      <c r="Z13" s="5"/>
      <c r="AA13" s="5"/>
      <c r="AB13" s="5"/>
      <c r="AC13" s="5"/>
      <c r="AD13" s="5"/>
      <c r="AE13" s="2"/>
      <c r="AF13" s="2"/>
    </row>
    <row r="14" spans="1:32" ht="20">
      <c r="A14" s="9"/>
      <c r="B14" s="183" t="s">
        <v>6</v>
      </c>
      <c r="C14" s="184"/>
      <c r="D14" s="184"/>
      <c r="E14" s="184"/>
      <c r="F14" s="184"/>
      <c r="G14" s="185"/>
      <c r="H14" s="10"/>
      <c r="I14" s="186" t="s">
        <v>7</v>
      </c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87"/>
      <c r="X14" s="11"/>
      <c r="Y14" s="5"/>
      <c r="Z14" s="5" t="s">
        <v>8</v>
      </c>
      <c r="AA14" s="5"/>
      <c r="AB14" s="5"/>
      <c r="AC14" s="5"/>
      <c r="AD14" s="5"/>
      <c r="AE14" s="2"/>
      <c r="AF14" s="2"/>
    </row>
    <row r="15" spans="1:32" ht="14.5">
      <c r="A15" s="9"/>
      <c r="B15" s="188" t="s">
        <v>9</v>
      </c>
      <c r="C15" s="168"/>
      <c r="D15" s="12" t="s">
        <v>10</v>
      </c>
      <c r="E15" s="13" t="s">
        <v>11</v>
      </c>
      <c r="F15" s="13" t="s">
        <v>12</v>
      </c>
      <c r="G15" s="14" t="s">
        <v>13</v>
      </c>
      <c r="H15" s="10"/>
      <c r="I15" s="189" t="s">
        <v>14</v>
      </c>
      <c r="J15" s="190"/>
      <c r="K15" s="15" t="s">
        <v>15</v>
      </c>
      <c r="L15" s="16" t="s">
        <v>10</v>
      </c>
      <c r="M15" s="15" t="s">
        <v>11</v>
      </c>
      <c r="N15" s="15" t="s">
        <v>12</v>
      </c>
      <c r="O15" s="17" t="s">
        <v>13</v>
      </c>
      <c r="P15" s="18"/>
      <c r="Q15" s="189" t="s">
        <v>14</v>
      </c>
      <c r="R15" s="190"/>
      <c r="S15" s="15" t="s">
        <v>15</v>
      </c>
      <c r="T15" s="16" t="s">
        <v>10</v>
      </c>
      <c r="U15" s="15" t="s">
        <v>11</v>
      </c>
      <c r="V15" s="15" t="s">
        <v>12</v>
      </c>
      <c r="W15" s="17" t="s">
        <v>13</v>
      </c>
      <c r="X15" s="11"/>
      <c r="Y15" s="5"/>
      <c r="Z15" s="8"/>
      <c r="AA15" s="8"/>
      <c r="AB15" s="5"/>
      <c r="AC15" s="5"/>
      <c r="AD15" s="5"/>
      <c r="AE15" s="2"/>
      <c r="AF15" s="2"/>
    </row>
    <row r="16" spans="1:32" ht="14.5">
      <c r="A16" s="9"/>
      <c r="B16" s="167" t="s">
        <v>16</v>
      </c>
      <c r="C16" s="168"/>
      <c r="D16" s="155" t="s">
        <v>12</v>
      </c>
      <c r="E16" s="156">
        <v>2000</v>
      </c>
      <c r="F16" s="19">
        <f t="shared" ref="F16:F18" si="0">+IF(D16="Mensual",E16,IF(D16="Bimensual",E16/2,IF(D16="Semestral",E16/6,IF(D16="Trimestral",E16/3,IF(D16="Anual",E16/12,"")))))</f>
        <v>2000</v>
      </c>
      <c r="G16" s="20">
        <f t="shared" ref="G16:G18" si="1">+IF(D16="Mensual",E16*12,IF(D16="Bimensual",E16*6,IF(D16="Semestral",E16*2,IF(D16="Trimestral",E16*4,IF(D16="Anual",E16,"")))))</f>
        <v>24000</v>
      </c>
      <c r="H16" s="10"/>
      <c r="I16" s="191" t="s">
        <v>17</v>
      </c>
      <c r="J16" s="192"/>
      <c r="K16" s="192"/>
      <c r="L16" s="192"/>
      <c r="M16" s="192"/>
      <c r="N16" s="192"/>
      <c r="O16" s="193"/>
      <c r="P16" s="21"/>
      <c r="Q16" s="191" t="s">
        <v>18</v>
      </c>
      <c r="R16" s="192"/>
      <c r="S16" s="192"/>
      <c r="T16" s="192"/>
      <c r="U16" s="192"/>
      <c r="V16" s="192"/>
      <c r="W16" s="193"/>
      <c r="X16" s="11"/>
      <c r="Y16" s="22"/>
      <c r="Z16" s="23" t="s">
        <v>19</v>
      </c>
      <c r="AA16" s="24" t="s">
        <v>20</v>
      </c>
      <c r="AB16" s="11"/>
      <c r="AC16" s="5"/>
      <c r="AD16" s="5"/>
      <c r="AE16" s="2"/>
      <c r="AF16" s="25"/>
    </row>
    <row r="17" spans="1:32" ht="14.5">
      <c r="A17" s="9"/>
      <c r="B17" s="167" t="s">
        <v>21</v>
      </c>
      <c r="C17" s="168"/>
      <c r="D17" s="155" t="s">
        <v>22</v>
      </c>
      <c r="E17" s="156">
        <v>100</v>
      </c>
      <c r="F17" s="19">
        <f t="shared" si="0"/>
        <v>33.333333333333336</v>
      </c>
      <c r="G17" s="20">
        <f t="shared" si="1"/>
        <v>400</v>
      </c>
      <c r="H17" s="10"/>
      <c r="I17" s="167" t="s">
        <v>23</v>
      </c>
      <c r="J17" s="168"/>
      <c r="K17" s="26" t="s">
        <v>24</v>
      </c>
      <c r="L17" s="159" t="s">
        <v>12</v>
      </c>
      <c r="M17" s="160">
        <v>400</v>
      </c>
      <c r="N17" s="19">
        <f t="shared" ref="N17:N25" si="2">+IF(L17="Mensual",M17,IF(L17="Bimensual",M17/2,IF(L17="Semestral",M17/6,IF(L17="Trimestral",M17/3,IF(L17="Anual",M17/12,"")))))</f>
        <v>400</v>
      </c>
      <c r="O17" s="20">
        <f t="shared" ref="O17:O25" si="3">+IF(L17="Mensual",M17*12,IF(L17="Bimensual",M17*6,IF(L17="Semestral",M17*2,IF(L17="Trimestral",M17*4,IF(L17="Anual",M17,"")))))</f>
        <v>4800</v>
      </c>
      <c r="P17" s="21"/>
      <c r="Q17" s="167" t="s">
        <v>25</v>
      </c>
      <c r="R17" s="168"/>
      <c r="S17" s="26"/>
      <c r="T17" s="159" t="s">
        <v>12</v>
      </c>
      <c r="U17" s="160">
        <v>100</v>
      </c>
      <c r="V17" s="19">
        <f t="shared" ref="V17:V20" si="4">+IF(T17="Mensual",U17,IF(T17="Bimensual",U17/2,IF(T17="Semestral",U17/6,IF(T17="Trimestral",U17/3,IF(T17="Anual",U17/12,"")))))</f>
        <v>100</v>
      </c>
      <c r="W17" s="20">
        <f t="shared" ref="W17:W20" si="5">+IF(T17="Mensual",U17*12,IF(T17="Bimensual",U17*6,IF(T17="Semestral",U17*2,IF(T17="Trimestral",U17*4,IF(T17="Anual",U17,"")))))</f>
        <v>1200</v>
      </c>
      <c r="X17" s="11"/>
      <c r="Y17" s="22" t="s">
        <v>24</v>
      </c>
      <c r="Z17" s="27" t="s">
        <v>26</v>
      </c>
      <c r="AA17" s="28">
        <f t="shared" ref="AA17:AA18" si="6">SUMIF($K$17:$K$25,Y17,$O$17:$O$25)+SUMIF($K$28:$K$30,Y17,$O$28:$O$30)+SUMIF($K$33:$K$37,Y17,$O$33:$O$37)+SUMIF($S$23:$S$27,Y17,$W$23:$W$27)+SUMIF($S$30:$S$37,Y17,$W$30:$W$37)</f>
        <v>13920</v>
      </c>
      <c r="AB17" s="11"/>
      <c r="AC17" s="5"/>
      <c r="AD17" s="5"/>
      <c r="AE17" s="2"/>
      <c r="AF17" s="2"/>
    </row>
    <row r="18" spans="1:32" ht="14.5">
      <c r="A18" s="9"/>
      <c r="B18" s="167" t="s">
        <v>27</v>
      </c>
      <c r="C18" s="168"/>
      <c r="D18" s="155" t="s">
        <v>13</v>
      </c>
      <c r="E18" s="156">
        <v>1000</v>
      </c>
      <c r="F18" s="19">
        <f t="shared" si="0"/>
        <v>83.333333333333329</v>
      </c>
      <c r="G18" s="20">
        <f t="shared" si="1"/>
        <v>1000</v>
      </c>
      <c r="H18" s="10"/>
      <c r="I18" s="167" t="s">
        <v>28</v>
      </c>
      <c r="J18" s="168"/>
      <c r="K18" s="26" t="s">
        <v>24</v>
      </c>
      <c r="L18" s="159" t="s">
        <v>12</v>
      </c>
      <c r="M18" s="160">
        <v>50</v>
      </c>
      <c r="N18" s="19">
        <f t="shared" si="2"/>
        <v>50</v>
      </c>
      <c r="O18" s="20">
        <f t="shared" si="3"/>
        <v>600</v>
      </c>
      <c r="P18" s="21"/>
      <c r="Q18" s="167" t="s">
        <v>29</v>
      </c>
      <c r="R18" s="168"/>
      <c r="S18" s="26"/>
      <c r="T18" s="159" t="s">
        <v>12</v>
      </c>
      <c r="U18" s="160">
        <v>0</v>
      </c>
      <c r="V18" s="19">
        <f t="shared" si="4"/>
        <v>0</v>
      </c>
      <c r="W18" s="20">
        <f t="shared" si="5"/>
        <v>0</v>
      </c>
      <c r="X18" s="11"/>
      <c r="Y18" s="22" t="s">
        <v>30</v>
      </c>
      <c r="Z18" s="27" t="s">
        <v>31</v>
      </c>
      <c r="AA18" s="28">
        <f t="shared" si="6"/>
        <v>4040</v>
      </c>
      <c r="AB18" s="11"/>
      <c r="AC18" s="5"/>
      <c r="AD18" s="5"/>
      <c r="AE18" s="2"/>
      <c r="AF18" s="2"/>
    </row>
    <row r="19" spans="1:32" ht="14.5">
      <c r="A19" s="9"/>
      <c r="B19" s="167" t="s">
        <v>32</v>
      </c>
      <c r="C19" s="168"/>
      <c r="D19" s="155" t="s">
        <v>33</v>
      </c>
      <c r="E19" s="156">
        <v>200</v>
      </c>
      <c r="F19" s="19">
        <f>+IF(D19="Mensual",E19,IF(D19="bimensual",E19/2,IF(D19="Semestral",E19/6,IF(D19="Trimestral",E19/3,IF(D19="Anual",E19/12,"")))))</f>
        <v>100</v>
      </c>
      <c r="G19" s="20">
        <f>+IF(D19="Mensual",E19*12,IF(D19="bimensual",E19*6,IF(D19="Semestral",E19*2,IF(D19="Trimestral",E19*4,IF(D19="Anual",E19,"")))))</f>
        <v>1200</v>
      </c>
      <c r="H19" s="10"/>
      <c r="I19" s="167" t="s">
        <v>34</v>
      </c>
      <c r="J19" s="168"/>
      <c r="K19" s="26" t="s">
        <v>24</v>
      </c>
      <c r="L19" s="159" t="s">
        <v>12</v>
      </c>
      <c r="M19" s="160">
        <v>30</v>
      </c>
      <c r="N19" s="19">
        <f t="shared" si="2"/>
        <v>30</v>
      </c>
      <c r="O19" s="20">
        <f t="shared" si="3"/>
        <v>360</v>
      </c>
      <c r="P19" s="21"/>
      <c r="Q19" s="167" t="s">
        <v>35</v>
      </c>
      <c r="R19" s="168"/>
      <c r="S19" s="26"/>
      <c r="T19" s="159" t="s">
        <v>12</v>
      </c>
      <c r="U19" s="160">
        <v>50</v>
      </c>
      <c r="V19" s="19">
        <f t="shared" si="4"/>
        <v>50</v>
      </c>
      <c r="W19" s="20">
        <f t="shared" si="5"/>
        <v>600</v>
      </c>
      <c r="X19" s="11"/>
      <c r="Y19" s="22"/>
      <c r="Z19" s="29" t="s">
        <v>36</v>
      </c>
      <c r="AA19" s="30">
        <f>+W21</f>
        <v>2400</v>
      </c>
      <c r="AB19" s="11"/>
      <c r="AC19" s="5"/>
      <c r="AD19" s="5"/>
      <c r="AE19" s="2"/>
      <c r="AF19" s="2"/>
    </row>
    <row r="20" spans="1:32" ht="14.5">
      <c r="A20" s="9"/>
      <c r="B20" s="167" t="s">
        <v>37</v>
      </c>
      <c r="C20" s="168"/>
      <c r="D20" s="157" t="s">
        <v>12</v>
      </c>
      <c r="E20" s="158">
        <v>500</v>
      </c>
      <c r="F20" s="19">
        <f>+IF(D20="Mensual",E20,IF(D20="Bimensual",E20/2,IF(D20="Semestral",E20/6,IF(D20="Trimestral",E20/3,IF(D20="Anual",E20/12,"")))))</f>
        <v>500</v>
      </c>
      <c r="G20" s="20">
        <f>+IF(D20="Mensual",E20*12,IF(D20="Bimensual",E20*6,IF(D20="Semestral",E20*2,IF(D20="Trimestral",E20*4,IF(D20="Anual",E20,"")))))</f>
        <v>6000</v>
      </c>
      <c r="H20" s="10"/>
      <c r="I20" s="167" t="s">
        <v>38</v>
      </c>
      <c r="J20" s="168"/>
      <c r="K20" s="26" t="s">
        <v>24</v>
      </c>
      <c r="L20" s="159" t="s">
        <v>33</v>
      </c>
      <c r="M20" s="160">
        <v>30</v>
      </c>
      <c r="N20" s="19">
        <f t="shared" si="2"/>
        <v>15</v>
      </c>
      <c r="O20" s="20">
        <f t="shared" si="3"/>
        <v>180</v>
      </c>
      <c r="P20" s="21"/>
      <c r="Q20" s="167" t="s">
        <v>39</v>
      </c>
      <c r="R20" s="168"/>
      <c r="S20" s="26"/>
      <c r="T20" s="161" t="s">
        <v>12</v>
      </c>
      <c r="U20" s="162">
        <v>50</v>
      </c>
      <c r="V20" s="19">
        <f t="shared" si="4"/>
        <v>50</v>
      </c>
      <c r="W20" s="20">
        <f t="shared" si="5"/>
        <v>600</v>
      </c>
      <c r="X20" s="11"/>
      <c r="Y20" s="5"/>
      <c r="Z20" s="31"/>
      <c r="AA20" s="31"/>
      <c r="AB20" s="5"/>
      <c r="AC20" s="5"/>
      <c r="AD20" s="5"/>
      <c r="AE20" s="2"/>
      <c r="AF20" s="2"/>
    </row>
    <row r="21" spans="1:32" ht="15.75" customHeight="1">
      <c r="A21" s="9"/>
      <c r="B21" s="174" t="s">
        <v>40</v>
      </c>
      <c r="C21" s="175"/>
      <c r="D21" s="32"/>
      <c r="E21" s="33">
        <f t="shared" ref="E21:G21" si="7">+SUM(E16:E20)</f>
        <v>3800</v>
      </c>
      <c r="F21" s="33">
        <f t="shared" si="7"/>
        <v>2716.6666666666665</v>
      </c>
      <c r="G21" s="34">
        <f t="shared" si="7"/>
        <v>32600</v>
      </c>
      <c r="H21" s="10"/>
      <c r="I21" s="167" t="s">
        <v>41</v>
      </c>
      <c r="J21" s="168"/>
      <c r="K21" s="26" t="s">
        <v>24</v>
      </c>
      <c r="L21" s="159" t="s">
        <v>12</v>
      </c>
      <c r="M21" s="160">
        <v>5</v>
      </c>
      <c r="N21" s="19">
        <f t="shared" si="2"/>
        <v>5</v>
      </c>
      <c r="O21" s="20">
        <f t="shared" si="3"/>
        <v>60</v>
      </c>
      <c r="P21" s="21"/>
      <c r="Q21" s="172" t="s">
        <v>40</v>
      </c>
      <c r="R21" s="173"/>
      <c r="S21" s="35"/>
      <c r="T21" s="36"/>
      <c r="U21" s="37">
        <f t="shared" ref="U21:W21" si="8">SUM(U17:U20)</f>
        <v>200</v>
      </c>
      <c r="V21" s="38">
        <f t="shared" si="8"/>
        <v>200</v>
      </c>
      <c r="W21" s="39">
        <f t="shared" si="8"/>
        <v>2400</v>
      </c>
      <c r="X21" s="40"/>
      <c r="Y21" s="41"/>
      <c r="Z21" s="41"/>
      <c r="AA21" s="41"/>
      <c r="AB21" s="41"/>
      <c r="AC21" s="41"/>
      <c r="AD21" s="41"/>
      <c r="AE21" s="2"/>
      <c r="AF21" s="2"/>
    </row>
    <row r="22" spans="1:32" ht="15.75" customHeight="1">
      <c r="A22" s="2"/>
      <c r="C22" s="42"/>
      <c r="D22" s="43"/>
      <c r="E22" s="44"/>
      <c r="F22" s="44"/>
      <c r="G22" s="44"/>
      <c r="H22" s="9"/>
      <c r="I22" s="167" t="s">
        <v>42</v>
      </c>
      <c r="J22" s="168"/>
      <c r="K22" s="26" t="s">
        <v>30</v>
      </c>
      <c r="L22" s="159" t="s">
        <v>12</v>
      </c>
      <c r="M22" s="160">
        <v>20</v>
      </c>
      <c r="N22" s="19">
        <f t="shared" si="2"/>
        <v>20</v>
      </c>
      <c r="O22" s="20">
        <f t="shared" si="3"/>
        <v>240</v>
      </c>
      <c r="P22" s="21"/>
      <c r="Q22" s="169" t="s">
        <v>43</v>
      </c>
      <c r="R22" s="170"/>
      <c r="S22" s="170"/>
      <c r="T22" s="170"/>
      <c r="U22" s="170"/>
      <c r="V22" s="170"/>
      <c r="W22" s="171"/>
      <c r="X22" s="45"/>
      <c r="Y22" s="2"/>
      <c r="Z22" s="2"/>
      <c r="AA22" s="2"/>
      <c r="AB22" s="2"/>
      <c r="AC22" s="2"/>
      <c r="AD22" s="2"/>
      <c r="AE22" s="2"/>
      <c r="AF22" s="2"/>
    </row>
    <row r="23" spans="1:32" ht="15.75" customHeight="1">
      <c r="A23" s="2"/>
      <c r="B23" s="2"/>
      <c r="C23" s="46" t="s">
        <v>44</v>
      </c>
      <c r="D23" s="47" t="s">
        <v>45</v>
      </c>
      <c r="E23" s="48"/>
      <c r="F23" s="48"/>
      <c r="G23" s="48"/>
      <c r="H23" s="9"/>
      <c r="I23" s="167" t="s">
        <v>46</v>
      </c>
      <c r="J23" s="168"/>
      <c r="K23" s="26" t="s">
        <v>24</v>
      </c>
      <c r="L23" s="159" t="s">
        <v>12</v>
      </c>
      <c r="M23" s="160">
        <v>30</v>
      </c>
      <c r="N23" s="19">
        <f t="shared" si="2"/>
        <v>30</v>
      </c>
      <c r="O23" s="20">
        <f t="shared" si="3"/>
        <v>360</v>
      </c>
      <c r="P23" s="21"/>
      <c r="Q23" s="167" t="s">
        <v>47</v>
      </c>
      <c r="R23" s="168"/>
      <c r="S23" s="26" t="s">
        <v>30</v>
      </c>
      <c r="T23" s="159" t="s">
        <v>48</v>
      </c>
      <c r="U23" s="160">
        <v>1000</v>
      </c>
      <c r="V23" s="19">
        <f t="shared" ref="V23:V27" si="9">+IF(T23="Mensual",U23,IF(T23="Bimensual",U23/2,IF(T23="Semestral",U23/6,IF(T23="Trimestral",U23/3,IF(T23="Anual",U23/12,"")))))</f>
        <v>166.66666666666666</v>
      </c>
      <c r="W23" s="20">
        <f t="shared" ref="W23:W27" si="10">+IF(T23="Mensual",U23*12,IF(T23="Bimensual",U23*6,IF(T23="Semestral",U23*2,IF(T23="Trimestral",U23*4,IF(T23="Anual",U23,"")))))</f>
        <v>2000</v>
      </c>
      <c r="X23" s="45"/>
      <c r="Y23" s="49"/>
      <c r="Z23" s="49"/>
      <c r="AA23" s="49"/>
      <c r="AB23" s="49"/>
      <c r="AC23" s="49"/>
      <c r="AD23" s="2"/>
      <c r="AE23" s="2"/>
      <c r="AF23" s="2"/>
    </row>
    <row r="24" spans="1:32" ht="15.75" customHeight="1">
      <c r="A24" s="2"/>
      <c r="B24" s="2"/>
      <c r="C24" s="50"/>
      <c r="E24" s="2"/>
      <c r="F24" s="2"/>
      <c r="G24" s="2"/>
      <c r="H24" s="9"/>
      <c r="I24" s="167" t="s">
        <v>49</v>
      </c>
      <c r="J24" s="168"/>
      <c r="K24" s="26" t="s">
        <v>24</v>
      </c>
      <c r="L24" s="159" t="s">
        <v>12</v>
      </c>
      <c r="M24" s="160">
        <v>30</v>
      </c>
      <c r="N24" s="19">
        <f t="shared" si="2"/>
        <v>30</v>
      </c>
      <c r="O24" s="20">
        <f t="shared" si="3"/>
        <v>360</v>
      </c>
      <c r="P24" s="21"/>
      <c r="Q24" s="167" t="s">
        <v>50</v>
      </c>
      <c r="R24" s="168"/>
      <c r="S24" s="26" t="s">
        <v>30</v>
      </c>
      <c r="T24" s="159" t="s">
        <v>12</v>
      </c>
      <c r="U24" s="160">
        <v>0</v>
      </c>
      <c r="V24" s="19">
        <f t="shared" si="9"/>
        <v>0</v>
      </c>
      <c r="W24" s="20">
        <f t="shared" si="10"/>
        <v>0</v>
      </c>
      <c r="X24" s="45"/>
      <c r="Y24" s="49" t="s">
        <v>17</v>
      </c>
      <c r="Z24" s="51">
        <f>+O26</f>
        <v>6960</v>
      </c>
      <c r="AA24" s="49"/>
      <c r="AB24" s="49" t="s">
        <v>16</v>
      </c>
      <c r="AC24" s="51">
        <f t="shared" ref="AC24:AC28" si="11">+G16</f>
        <v>24000</v>
      </c>
      <c r="AD24" s="2"/>
      <c r="AE24" s="2"/>
      <c r="AF24" s="2"/>
    </row>
    <row r="25" spans="1:32" ht="15.75" customHeight="1">
      <c r="A25" s="2"/>
      <c r="B25" s="2"/>
      <c r="C25" s="2"/>
      <c r="D25" s="49"/>
      <c r="E25" s="2"/>
      <c r="F25" s="2"/>
      <c r="G25" s="2"/>
      <c r="H25" s="9"/>
      <c r="I25" s="167" t="s">
        <v>39</v>
      </c>
      <c r="J25" s="168"/>
      <c r="K25" s="26" t="s">
        <v>30</v>
      </c>
      <c r="L25" s="161" t="s">
        <v>12</v>
      </c>
      <c r="M25" s="162">
        <v>0</v>
      </c>
      <c r="N25" s="19">
        <f t="shared" si="2"/>
        <v>0</v>
      </c>
      <c r="O25" s="20">
        <f t="shared" si="3"/>
        <v>0</v>
      </c>
      <c r="P25" s="21"/>
      <c r="Q25" s="167" t="s">
        <v>51</v>
      </c>
      <c r="R25" s="168"/>
      <c r="S25" s="26" t="s">
        <v>30</v>
      </c>
      <c r="T25" s="159" t="s">
        <v>12</v>
      </c>
      <c r="U25" s="160">
        <v>0</v>
      </c>
      <c r="V25" s="19">
        <f t="shared" si="9"/>
        <v>0</v>
      </c>
      <c r="W25" s="20">
        <f t="shared" si="10"/>
        <v>0</v>
      </c>
      <c r="X25" s="45"/>
      <c r="Y25" s="49" t="s">
        <v>52</v>
      </c>
      <c r="Z25" s="51">
        <f>+O31</f>
        <v>9000</v>
      </c>
      <c r="AA25" s="49"/>
      <c r="AB25" s="49" t="s">
        <v>21</v>
      </c>
      <c r="AC25" s="51">
        <f t="shared" si="11"/>
        <v>400</v>
      </c>
      <c r="AD25" s="2"/>
      <c r="AE25" s="2"/>
      <c r="AF25" s="2"/>
    </row>
    <row r="26" spans="1:32" ht="15.75" customHeight="1">
      <c r="A26" s="2"/>
      <c r="B26" s="2"/>
      <c r="C26" s="2"/>
      <c r="D26" s="49"/>
      <c r="E26" s="2"/>
      <c r="F26" s="2"/>
      <c r="G26" s="2"/>
      <c r="H26" s="9"/>
      <c r="I26" s="172" t="s">
        <v>40</v>
      </c>
      <c r="J26" s="173"/>
      <c r="K26" s="35"/>
      <c r="L26" s="36"/>
      <c r="M26" s="33">
        <f t="shared" ref="M26:O26" si="12">SUM(M17:M25)</f>
        <v>595</v>
      </c>
      <c r="N26" s="38">
        <f t="shared" si="12"/>
        <v>580</v>
      </c>
      <c r="O26" s="39">
        <f t="shared" si="12"/>
        <v>6960</v>
      </c>
      <c r="P26" s="21"/>
      <c r="Q26" s="167" t="s">
        <v>53</v>
      </c>
      <c r="R26" s="168"/>
      <c r="S26" s="26" t="s">
        <v>24</v>
      </c>
      <c r="T26" s="159" t="s">
        <v>12</v>
      </c>
      <c r="U26" s="160">
        <v>0</v>
      </c>
      <c r="V26" s="19">
        <f t="shared" si="9"/>
        <v>0</v>
      </c>
      <c r="W26" s="20">
        <f t="shared" si="10"/>
        <v>0</v>
      </c>
      <c r="X26" s="45"/>
      <c r="Y26" s="49" t="s">
        <v>54</v>
      </c>
      <c r="Z26" s="51">
        <f>+O38</f>
        <v>0</v>
      </c>
      <c r="AA26" s="49"/>
      <c r="AB26" s="49" t="s">
        <v>27</v>
      </c>
      <c r="AC26" s="51">
        <f t="shared" si="11"/>
        <v>1000</v>
      </c>
      <c r="AD26" s="2"/>
      <c r="AE26" s="2"/>
      <c r="AF26" s="2"/>
    </row>
    <row r="27" spans="1:32" ht="15.75" customHeight="1">
      <c r="A27" s="2"/>
      <c r="B27" s="2"/>
      <c r="C27" s="2"/>
      <c r="D27" s="49"/>
      <c r="E27" s="2"/>
      <c r="F27" s="2"/>
      <c r="G27" s="2"/>
      <c r="H27" s="9"/>
      <c r="I27" s="169" t="s">
        <v>52</v>
      </c>
      <c r="J27" s="170"/>
      <c r="K27" s="170"/>
      <c r="L27" s="170"/>
      <c r="M27" s="170"/>
      <c r="N27" s="170"/>
      <c r="O27" s="171"/>
      <c r="P27" s="21"/>
      <c r="Q27" s="167" t="s">
        <v>37</v>
      </c>
      <c r="R27" s="168"/>
      <c r="S27" s="26" t="s">
        <v>30</v>
      </c>
      <c r="T27" s="161" t="s">
        <v>12</v>
      </c>
      <c r="U27" s="162">
        <v>0</v>
      </c>
      <c r="V27" s="19">
        <f t="shared" si="9"/>
        <v>0</v>
      </c>
      <c r="W27" s="20">
        <f t="shared" si="10"/>
        <v>0</v>
      </c>
      <c r="X27" s="45"/>
      <c r="Y27" s="49" t="s">
        <v>18</v>
      </c>
      <c r="Z27" s="51">
        <f>+W21</f>
        <v>2400</v>
      </c>
      <c r="AA27" s="49"/>
      <c r="AB27" s="49" t="s">
        <v>32</v>
      </c>
      <c r="AC27" s="51">
        <f t="shared" si="11"/>
        <v>1200</v>
      </c>
      <c r="AD27" s="2"/>
      <c r="AE27" s="2"/>
      <c r="AF27" s="2"/>
    </row>
    <row r="28" spans="1:32" ht="18" customHeight="1">
      <c r="A28" s="2"/>
      <c r="B28" s="2"/>
      <c r="C28" s="2"/>
      <c r="D28" s="52"/>
      <c r="E28" s="2"/>
      <c r="F28" s="2"/>
      <c r="G28" s="2"/>
      <c r="H28" s="9"/>
      <c r="I28" s="167" t="s">
        <v>55</v>
      </c>
      <c r="J28" s="168"/>
      <c r="K28" s="26" t="s">
        <v>24</v>
      </c>
      <c r="L28" s="159" t="s">
        <v>12</v>
      </c>
      <c r="M28" s="160">
        <v>600</v>
      </c>
      <c r="N28" s="19">
        <f t="shared" ref="N28:N30" si="13">+IF(L28="Mensual",M28,IF(L28="Bimensual",M28/2,IF(L28="Semestral",M28/6,IF(L28="Trimestral",M28/3,IF(L28="Anual",M28/12,"")))))</f>
        <v>600</v>
      </c>
      <c r="O28" s="20">
        <f t="shared" ref="O28:O30" si="14">+IF(L28="Mensual",M28*12,IF(L28="Bimensual",M28*6,IF(L28="Semestral",M28*2,IF(L28="Trimestral",M28*4,IF(L28="Anual",M28,"")))))</f>
        <v>7200</v>
      </c>
      <c r="P28" s="21"/>
      <c r="Q28" s="172" t="s">
        <v>40</v>
      </c>
      <c r="R28" s="173"/>
      <c r="S28" s="35"/>
      <c r="T28" s="36"/>
      <c r="U28" s="37">
        <f t="shared" ref="U28:W28" si="15">SUM(U23:U27)</f>
        <v>1000</v>
      </c>
      <c r="V28" s="38">
        <f t="shared" si="15"/>
        <v>166.66666666666666</v>
      </c>
      <c r="W28" s="39">
        <f t="shared" si="15"/>
        <v>2000</v>
      </c>
      <c r="X28" s="45"/>
      <c r="Y28" s="49" t="s">
        <v>43</v>
      </c>
      <c r="Z28" s="51">
        <f>+W28</f>
        <v>2000</v>
      </c>
      <c r="AA28" s="49"/>
      <c r="AB28" s="49" t="s">
        <v>37</v>
      </c>
      <c r="AC28" s="51">
        <f t="shared" si="11"/>
        <v>6000</v>
      </c>
      <c r="AD28" s="2"/>
      <c r="AE28" s="2"/>
      <c r="AF28" s="2"/>
    </row>
    <row r="29" spans="1:32" ht="15.75" customHeight="1">
      <c r="A29" s="2"/>
      <c r="B29" s="2"/>
      <c r="C29" s="2"/>
      <c r="D29" s="49"/>
      <c r="E29" s="2"/>
      <c r="F29" s="2"/>
      <c r="G29" s="2"/>
      <c r="H29" s="9"/>
      <c r="I29" s="167" t="s">
        <v>56</v>
      </c>
      <c r="J29" s="168"/>
      <c r="K29" s="26" t="s">
        <v>30</v>
      </c>
      <c r="L29" s="159" t="s">
        <v>12</v>
      </c>
      <c r="M29" s="160">
        <v>100</v>
      </c>
      <c r="N29" s="19">
        <f t="shared" si="13"/>
        <v>100</v>
      </c>
      <c r="O29" s="20">
        <f t="shared" si="14"/>
        <v>1200</v>
      </c>
      <c r="P29" s="21"/>
      <c r="Q29" s="169" t="s">
        <v>57</v>
      </c>
      <c r="R29" s="170"/>
      <c r="S29" s="170"/>
      <c r="T29" s="170"/>
      <c r="U29" s="170"/>
      <c r="V29" s="170"/>
      <c r="W29" s="171"/>
      <c r="X29" s="45"/>
      <c r="Y29" s="49" t="s">
        <v>57</v>
      </c>
      <c r="Z29" s="51">
        <f>+W38</f>
        <v>0</v>
      </c>
      <c r="AA29" s="49"/>
      <c r="AB29" s="49"/>
      <c r="AC29" s="49"/>
      <c r="AD29" s="2"/>
      <c r="AE29" s="2"/>
      <c r="AF29" s="2"/>
    </row>
    <row r="30" spans="1:32" ht="15.75" customHeight="1">
      <c r="A30" s="2"/>
      <c r="B30" s="2"/>
      <c r="C30" s="2"/>
      <c r="D30" s="2"/>
      <c r="E30" s="2"/>
      <c r="F30" s="2"/>
      <c r="G30" s="2"/>
      <c r="H30" s="9"/>
      <c r="I30" s="167" t="s">
        <v>39</v>
      </c>
      <c r="J30" s="168"/>
      <c r="K30" s="26" t="s">
        <v>30</v>
      </c>
      <c r="L30" s="161" t="s">
        <v>12</v>
      </c>
      <c r="M30" s="162">
        <v>50</v>
      </c>
      <c r="N30" s="19">
        <f t="shared" si="13"/>
        <v>50</v>
      </c>
      <c r="O30" s="20">
        <f t="shared" si="14"/>
        <v>600</v>
      </c>
      <c r="P30" s="21"/>
      <c r="Q30" s="167" t="s">
        <v>58</v>
      </c>
      <c r="R30" s="168"/>
      <c r="S30" s="26" t="s">
        <v>24</v>
      </c>
      <c r="T30" s="159" t="s">
        <v>12</v>
      </c>
      <c r="U30" s="160">
        <v>0</v>
      </c>
      <c r="V30" s="19">
        <f t="shared" ref="V30:V37" si="16">+IF(T30="Mensual",U30,IF(T30="Bimensual",U30/2,IF(T30="Semestral",U30/6,IF(T30="Trimestral",U30/3,IF(T30="Anual",U30/12,"")))))</f>
        <v>0</v>
      </c>
      <c r="W30" s="20">
        <f t="shared" ref="W30:W37" si="17">+IF(T30="Mensual",U30*12,IF(T30="Bimensual",U30*6,IF(T30="Semestral",U30*2,IF(T30="Trimestral",U30*4,IF(T30="Anual",U30,"")))))</f>
        <v>0</v>
      </c>
      <c r="X30" s="45"/>
      <c r="Y30" s="2"/>
      <c r="Z30" s="2"/>
      <c r="AA30" s="2"/>
      <c r="AB30" s="2"/>
      <c r="AC30" s="2"/>
      <c r="AD30" s="2"/>
      <c r="AE30" s="2"/>
      <c r="AF30" s="2"/>
    </row>
    <row r="31" spans="1:32" ht="15.75" customHeight="1">
      <c r="A31" s="2"/>
      <c r="B31" s="2"/>
      <c r="C31" s="2"/>
      <c r="D31" s="2"/>
      <c r="E31" s="2"/>
      <c r="F31" s="2"/>
      <c r="G31" s="2"/>
      <c r="H31" s="9"/>
      <c r="I31" s="172" t="s">
        <v>40</v>
      </c>
      <c r="J31" s="173"/>
      <c r="K31" s="35"/>
      <c r="L31" s="36"/>
      <c r="M31" s="37">
        <f t="shared" ref="M31:O31" si="18">SUM(M28:M30)</f>
        <v>750</v>
      </c>
      <c r="N31" s="38">
        <f t="shared" si="18"/>
        <v>750</v>
      </c>
      <c r="O31" s="39">
        <f t="shared" si="18"/>
        <v>9000</v>
      </c>
      <c r="P31" s="21"/>
      <c r="Q31" s="167" t="s">
        <v>59</v>
      </c>
      <c r="R31" s="168"/>
      <c r="S31" s="26" t="s">
        <v>24</v>
      </c>
      <c r="T31" s="159" t="s">
        <v>12</v>
      </c>
      <c r="U31" s="160">
        <v>0</v>
      </c>
      <c r="V31" s="19">
        <f t="shared" si="16"/>
        <v>0</v>
      </c>
      <c r="W31" s="20">
        <f t="shared" si="17"/>
        <v>0</v>
      </c>
      <c r="X31" s="45"/>
      <c r="Y31" s="2"/>
      <c r="Z31" s="2"/>
      <c r="AA31" s="2"/>
      <c r="AB31" s="2"/>
      <c r="AC31" s="2"/>
      <c r="AD31" s="2"/>
      <c r="AE31" s="2"/>
      <c r="AF31" s="2"/>
    </row>
    <row r="32" spans="1:32" ht="15.75" customHeight="1">
      <c r="A32" s="2"/>
      <c r="B32" s="2"/>
      <c r="C32" s="2"/>
      <c r="D32" s="2"/>
      <c r="E32" s="2"/>
      <c r="F32" s="2"/>
      <c r="G32" s="2"/>
      <c r="H32" s="9"/>
      <c r="I32" s="169" t="s">
        <v>54</v>
      </c>
      <c r="J32" s="170"/>
      <c r="K32" s="170"/>
      <c r="L32" s="170"/>
      <c r="M32" s="170"/>
      <c r="N32" s="170"/>
      <c r="O32" s="171"/>
      <c r="P32" s="21"/>
      <c r="Q32" s="167" t="s">
        <v>60</v>
      </c>
      <c r="R32" s="168"/>
      <c r="S32" s="26" t="s">
        <v>30</v>
      </c>
      <c r="T32" s="159" t="s">
        <v>12</v>
      </c>
      <c r="U32" s="160">
        <v>0</v>
      </c>
      <c r="V32" s="19">
        <f t="shared" si="16"/>
        <v>0</v>
      </c>
      <c r="W32" s="20">
        <f t="shared" si="17"/>
        <v>0</v>
      </c>
      <c r="X32" s="45"/>
      <c r="Y32" s="2"/>
      <c r="Z32" s="2"/>
      <c r="AA32" s="2"/>
      <c r="AB32" s="2"/>
      <c r="AC32" s="2"/>
      <c r="AD32" s="2"/>
      <c r="AE32" s="2"/>
      <c r="AF32" s="2"/>
    </row>
    <row r="33" spans="1:32" ht="15.75" customHeight="1">
      <c r="A33" s="2"/>
      <c r="B33" s="53" t="s">
        <v>61</v>
      </c>
      <c r="C33" s="53"/>
      <c r="D33" s="53"/>
      <c r="E33" s="53"/>
      <c r="F33" s="53"/>
      <c r="G33" s="53"/>
      <c r="H33" s="9"/>
      <c r="I33" s="167" t="s">
        <v>62</v>
      </c>
      <c r="J33" s="168"/>
      <c r="K33" s="26" t="s">
        <v>24</v>
      </c>
      <c r="L33" s="159" t="s">
        <v>12</v>
      </c>
      <c r="M33" s="160">
        <v>0</v>
      </c>
      <c r="N33" s="19">
        <f t="shared" ref="N33:N37" si="19">+IF(L33="Mensual",M33,IF(L33="Bimensual",M33/2,IF(L33="Semestral",M33/6,IF(L33="Trimestral",M33/3,IF(L33="Anual",M33/12,"")))))</f>
        <v>0</v>
      </c>
      <c r="O33" s="20">
        <f t="shared" ref="O33:O37" si="20">+IF(L33="Mensual",M33*12,IF(L33="Bimensual",M33*6,IF(L33="Semestral",M33*2,IF(L33="Trimestral",M33*4,IF(L33="Anual",M33,"")))))</f>
        <v>0</v>
      </c>
      <c r="P33" s="21"/>
      <c r="Q33" s="167" t="s">
        <v>63</v>
      </c>
      <c r="R33" s="168"/>
      <c r="S33" s="26" t="s">
        <v>30</v>
      </c>
      <c r="T33" s="159" t="s">
        <v>12</v>
      </c>
      <c r="U33" s="160">
        <v>0</v>
      </c>
      <c r="V33" s="19">
        <f t="shared" si="16"/>
        <v>0</v>
      </c>
      <c r="W33" s="20">
        <f t="shared" si="17"/>
        <v>0</v>
      </c>
      <c r="X33" s="45"/>
      <c r="Y33" s="2"/>
      <c r="Z33" s="2"/>
      <c r="AA33" s="2"/>
      <c r="AB33" s="2"/>
      <c r="AC33" s="2"/>
      <c r="AD33" s="2"/>
      <c r="AE33" s="2"/>
      <c r="AF33" s="2"/>
    </row>
    <row r="34" spans="1:32" ht="15.75" customHeight="1">
      <c r="A34" s="2"/>
      <c r="B34" s="54"/>
      <c r="C34" s="54"/>
      <c r="D34" s="54"/>
      <c r="E34" s="54"/>
      <c r="F34" s="54"/>
      <c r="G34" s="54"/>
      <c r="H34" s="9"/>
      <c r="I34" s="167" t="s">
        <v>64</v>
      </c>
      <c r="J34" s="168"/>
      <c r="K34" s="26" t="s">
        <v>30</v>
      </c>
      <c r="L34" s="159" t="s">
        <v>12</v>
      </c>
      <c r="M34" s="160">
        <v>0</v>
      </c>
      <c r="N34" s="19">
        <f t="shared" si="19"/>
        <v>0</v>
      </c>
      <c r="O34" s="20">
        <f t="shared" si="20"/>
        <v>0</v>
      </c>
      <c r="P34" s="21"/>
      <c r="Q34" s="167" t="s">
        <v>65</v>
      </c>
      <c r="R34" s="168"/>
      <c r="S34" s="26" t="s">
        <v>24</v>
      </c>
      <c r="T34" s="159" t="s">
        <v>12</v>
      </c>
      <c r="U34" s="160">
        <v>0</v>
      </c>
      <c r="V34" s="19">
        <f t="shared" si="16"/>
        <v>0</v>
      </c>
      <c r="W34" s="20">
        <f t="shared" si="17"/>
        <v>0</v>
      </c>
      <c r="X34" s="45"/>
      <c r="Y34" s="2"/>
      <c r="Z34" s="2"/>
      <c r="AA34" s="2"/>
      <c r="AB34" s="2"/>
      <c r="AC34" s="2"/>
      <c r="AD34" s="2"/>
      <c r="AE34" s="2"/>
      <c r="AF34" s="2"/>
    </row>
    <row r="35" spans="1:32" ht="15.75" customHeight="1">
      <c r="A35" s="9"/>
      <c r="B35" s="204" t="s">
        <v>66</v>
      </c>
      <c r="C35" s="184"/>
      <c r="D35" s="184"/>
      <c r="E35" s="184"/>
      <c r="F35" s="184"/>
      <c r="G35" s="185"/>
      <c r="H35" s="10"/>
      <c r="I35" s="167" t="s">
        <v>67</v>
      </c>
      <c r="J35" s="168"/>
      <c r="K35" s="26" t="s">
        <v>24</v>
      </c>
      <c r="L35" s="159" t="s">
        <v>12</v>
      </c>
      <c r="M35" s="160">
        <v>0</v>
      </c>
      <c r="N35" s="19">
        <f t="shared" si="19"/>
        <v>0</v>
      </c>
      <c r="O35" s="20">
        <f t="shared" si="20"/>
        <v>0</v>
      </c>
      <c r="P35" s="21"/>
      <c r="Q35" s="167" t="s">
        <v>68</v>
      </c>
      <c r="R35" s="168"/>
      <c r="S35" s="26" t="s">
        <v>24</v>
      </c>
      <c r="T35" s="159" t="s">
        <v>13</v>
      </c>
      <c r="U35" s="160">
        <v>0</v>
      </c>
      <c r="V35" s="19">
        <f t="shared" si="16"/>
        <v>0</v>
      </c>
      <c r="W35" s="20">
        <f t="shared" si="17"/>
        <v>0</v>
      </c>
      <c r="X35" s="45"/>
      <c r="Y35" s="2"/>
      <c r="Z35" s="2"/>
      <c r="AA35" s="2"/>
      <c r="AB35" s="2"/>
      <c r="AC35" s="2"/>
      <c r="AD35" s="2"/>
      <c r="AE35" s="2"/>
      <c r="AF35" s="2"/>
    </row>
    <row r="36" spans="1:32" ht="15.75" customHeight="1">
      <c r="A36" s="9"/>
      <c r="B36" s="205" t="s">
        <v>69</v>
      </c>
      <c r="C36" s="168"/>
      <c r="D36" s="55" t="s">
        <v>10</v>
      </c>
      <c r="E36" s="56" t="s">
        <v>11</v>
      </c>
      <c r="F36" s="56" t="s">
        <v>12</v>
      </c>
      <c r="G36" s="57" t="s">
        <v>13</v>
      </c>
      <c r="H36" s="10"/>
      <c r="I36" s="167" t="s">
        <v>70</v>
      </c>
      <c r="J36" s="168"/>
      <c r="K36" s="26" t="s">
        <v>30</v>
      </c>
      <c r="L36" s="159" t="s">
        <v>12</v>
      </c>
      <c r="M36" s="160">
        <v>0</v>
      </c>
      <c r="N36" s="19">
        <f t="shared" si="19"/>
        <v>0</v>
      </c>
      <c r="O36" s="20">
        <f t="shared" si="20"/>
        <v>0</v>
      </c>
      <c r="P36" s="21"/>
      <c r="Q36" s="167" t="s">
        <v>43</v>
      </c>
      <c r="R36" s="168"/>
      <c r="S36" s="26" t="s">
        <v>30</v>
      </c>
      <c r="T36" s="159" t="s">
        <v>12</v>
      </c>
      <c r="U36" s="160">
        <v>0</v>
      </c>
      <c r="V36" s="19">
        <f t="shared" si="16"/>
        <v>0</v>
      </c>
      <c r="W36" s="20">
        <f t="shared" si="17"/>
        <v>0</v>
      </c>
      <c r="X36" s="45"/>
      <c r="Y36" s="2"/>
      <c r="Z36" s="2"/>
      <c r="AA36" s="2"/>
      <c r="AB36" s="2"/>
      <c r="AC36" s="2"/>
      <c r="AD36" s="2"/>
      <c r="AE36" s="2"/>
      <c r="AF36" s="2"/>
    </row>
    <row r="37" spans="1:32" ht="15.75" customHeight="1">
      <c r="A37" s="9"/>
      <c r="B37" s="206" t="s">
        <v>66</v>
      </c>
      <c r="C37" s="168"/>
      <c r="D37" s="165" t="s">
        <v>12</v>
      </c>
      <c r="E37" s="166">
        <v>100</v>
      </c>
      <c r="F37" s="58">
        <f>+IF(D37="Mensual",E37,IF(D37="Bimensual",E37/2,IF(D37="Semestral",E37/6,IF(D37="Trimestral",E37/3,IF(D37="Anual",E37/12,"")))))</f>
        <v>100</v>
      </c>
      <c r="G37" s="59">
        <f>+IF(D37="Mensual",E37*12,IF(D37="Bimensual",E37*6,IF(D37="Semestral",E37*2,IF(D37="Trimestral",E37*4,IF(D37="Anual",E37,"")))))</f>
        <v>1200</v>
      </c>
      <c r="H37" s="10"/>
      <c r="I37" s="208" t="s">
        <v>39</v>
      </c>
      <c r="J37" s="209"/>
      <c r="K37" s="60" t="s">
        <v>30</v>
      </c>
      <c r="L37" s="163" t="s">
        <v>12</v>
      </c>
      <c r="M37" s="164">
        <v>0</v>
      </c>
      <c r="N37" s="61">
        <f t="shared" si="19"/>
        <v>0</v>
      </c>
      <c r="O37" s="62">
        <f t="shared" si="20"/>
        <v>0</v>
      </c>
      <c r="P37" s="21"/>
      <c r="Q37" s="167" t="s">
        <v>71</v>
      </c>
      <c r="R37" s="168"/>
      <c r="S37" s="26" t="s">
        <v>30</v>
      </c>
      <c r="T37" s="161" t="s">
        <v>22</v>
      </c>
      <c r="U37" s="162">
        <v>0</v>
      </c>
      <c r="V37" s="19">
        <f t="shared" si="16"/>
        <v>0</v>
      </c>
      <c r="W37" s="20">
        <f t="shared" si="17"/>
        <v>0</v>
      </c>
      <c r="X37" s="45"/>
      <c r="Y37" s="2"/>
      <c r="Z37" s="2"/>
      <c r="AA37" s="2"/>
      <c r="AB37" s="2"/>
      <c r="AC37" s="2"/>
      <c r="AD37" s="2"/>
      <c r="AE37" s="2"/>
      <c r="AF37" s="2"/>
    </row>
    <row r="38" spans="1:32" ht="15.75" customHeight="1">
      <c r="A38" s="9"/>
      <c r="B38" s="207" t="s">
        <v>40</v>
      </c>
      <c r="C38" s="175"/>
      <c r="D38" s="63"/>
      <c r="E38" s="64">
        <f t="shared" ref="E38:G38" si="21">+SUM(E37)</f>
        <v>100</v>
      </c>
      <c r="F38" s="64">
        <f t="shared" si="21"/>
        <v>100</v>
      </c>
      <c r="G38" s="65">
        <f t="shared" si="21"/>
        <v>1200</v>
      </c>
      <c r="H38" s="10"/>
      <c r="I38" s="172" t="s">
        <v>40</v>
      </c>
      <c r="J38" s="173"/>
      <c r="K38" s="35"/>
      <c r="L38" s="36"/>
      <c r="M38" s="37">
        <f t="shared" ref="M38:O38" si="22">SUM(M33:M37)</f>
        <v>0</v>
      </c>
      <c r="N38" s="38">
        <f t="shared" si="22"/>
        <v>0</v>
      </c>
      <c r="O38" s="39">
        <f t="shared" si="22"/>
        <v>0</v>
      </c>
      <c r="P38" s="66"/>
      <c r="Q38" s="172" t="s">
        <v>40</v>
      </c>
      <c r="R38" s="173"/>
      <c r="S38" s="35"/>
      <c r="T38" s="32"/>
      <c r="U38" s="33">
        <f t="shared" ref="U38:W38" si="23">SUM(U30:U37)</f>
        <v>0</v>
      </c>
      <c r="V38" s="67">
        <f t="shared" si="23"/>
        <v>0</v>
      </c>
      <c r="W38" s="68">
        <f t="shared" si="23"/>
        <v>0</v>
      </c>
      <c r="X38" s="45"/>
      <c r="Y38" s="2"/>
      <c r="Z38" s="2"/>
      <c r="AA38" s="2"/>
      <c r="AB38" s="2"/>
      <c r="AC38" s="2"/>
      <c r="AD38" s="2"/>
      <c r="AE38" s="2"/>
      <c r="AF38" s="2"/>
    </row>
    <row r="39" spans="1:32" ht="15.75" customHeight="1">
      <c r="A39" s="2"/>
      <c r="B39" s="44"/>
      <c r="C39" s="44"/>
      <c r="D39" s="44"/>
      <c r="E39" s="44"/>
      <c r="F39" s="44"/>
      <c r="G39" s="44"/>
      <c r="H39" s="2"/>
      <c r="I39" s="31"/>
      <c r="J39" s="31"/>
      <c r="K39" s="31"/>
      <c r="L39" s="31"/>
      <c r="M39" s="31"/>
      <c r="N39" s="31"/>
      <c r="O39" s="31"/>
      <c r="P39" s="69"/>
      <c r="Q39" s="203" t="s">
        <v>72</v>
      </c>
      <c r="R39" s="175"/>
      <c r="S39" s="70"/>
      <c r="T39" s="71"/>
      <c r="U39" s="72">
        <f>+U38+U28+U21+M38+M31+M26</f>
        <v>2545</v>
      </c>
      <c r="V39" s="72">
        <f t="shared" ref="V39:W39" si="24">+V38+V21+N38+N31+N26+V28</f>
        <v>1696.6666666666667</v>
      </c>
      <c r="W39" s="73">
        <f t="shared" si="24"/>
        <v>20360</v>
      </c>
      <c r="X39" s="45"/>
      <c r="Y39" s="2"/>
      <c r="Z39" s="2"/>
      <c r="AA39" s="2"/>
      <c r="AB39" s="2"/>
      <c r="AC39" s="2"/>
      <c r="AD39" s="2"/>
      <c r="AE39" s="2"/>
      <c r="AF39" s="2"/>
    </row>
    <row r="40" spans="1:32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44"/>
      <c r="R40" s="44"/>
      <c r="S40" s="44"/>
      <c r="T40" s="44"/>
      <c r="U40" s="44"/>
      <c r="V40" s="44"/>
      <c r="W40" s="44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.75" customHeight="1">
      <c r="A42" s="2"/>
      <c r="B42" s="5" t="s">
        <v>73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.75" customHeight="1">
      <c r="A43" s="2"/>
      <c r="B43" s="7"/>
      <c r="C43" s="7"/>
      <c r="D43" s="7"/>
      <c r="E43" s="7"/>
      <c r="F43" s="7"/>
      <c r="G43" s="7"/>
      <c r="H43" s="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2"/>
      <c r="Z43" s="2"/>
      <c r="AA43" s="2"/>
      <c r="AB43" s="2"/>
      <c r="AC43" s="2"/>
      <c r="AD43" s="2"/>
      <c r="AE43" s="2"/>
      <c r="AF43" s="2"/>
    </row>
    <row r="44" spans="1:32" ht="28.5" customHeight="1">
      <c r="A44" s="9"/>
      <c r="B44" s="199" t="s">
        <v>74</v>
      </c>
      <c r="C44" s="173"/>
      <c r="D44" s="173"/>
      <c r="E44" s="173"/>
      <c r="F44" s="173"/>
      <c r="G44" s="187"/>
      <c r="H44" s="10"/>
      <c r="I44" s="202" t="s">
        <v>75</v>
      </c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87"/>
      <c r="Y44" s="45"/>
      <c r="Z44" s="2"/>
      <c r="AA44" s="2"/>
      <c r="AB44" s="2"/>
      <c r="AC44" s="2"/>
      <c r="AD44" s="2"/>
      <c r="AE44" s="2"/>
      <c r="AF44" s="2"/>
    </row>
    <row r="45" spans="1:32" ht="15" customHeight="1">
      <c r="A45" s="9"/>
      <c r="B45" s="74"/>
      <c r="C45" s="75"/>
      <c r="D45" s="200" t="s">
        <v>76</v>
      </c>
      <c r="E45" s="201"/>
      <c r="F45" s="200" t="s">
        <v>77</v>
      </c>
      <c r="G45" s="185"/>
      <c r="H45" s="10"/>
      <c r="I45" s="76"/>
      <c r="J45" s="77"/>
      <c r="K45" s="77"/>
      <c r="L45" s="77"/>
      <c r="M45" s="78"/>
      <c r="N45" s="79"/>
      <c r="O45" s="80"/>
      <c r="P45" s="81"/>
      <c r="Q45" s="81"/>
      <c r="R45" s="81"/>
      <c r="S45" s="81"/>
      <c r="T45" s="81"/>
      <c r="U45" s="81"/>
      <c r="V45" s="81"/>
      <c r="W45" s="81"/>
      <c r="X45" s="82"/>
      <c r="Y45" s="45"/>
      <c r="Z45" s="2"/>
      <c r="AA45" s="2"/>
      <c r="AB45" s="2"/>
      <c r="AC45" s="2"/>
      <c r="AD45" s="2"/>
      <c r="AE45" s="2"/>
      <c r="AF45" s="2"/>
    </row>
    <row r="46" spans="1:32" ht="15.75" customHeight="1">
      <c r="A46" s="9"/>
      <c r="B46" s="83" t="s">
        <v>6</v>
      </c>
      <c r="C46" s="84"/>
      <c r="D46" s="194">
        <f>+F21</f>
        <v>2716.6666666666665</v>
      </c>
      <c r="E46" s="195"/>
      <c r="F46" s="194">
        <f>+G21</f>
        <v>32600</v>
      </c>
      <c r="G46" s="193"/>
      <c r="H46" s="10"/>
      <c r="I46" s="85"/>
      <c r="J46" s="86"/>
      <c r="K46" s="86"/>
      <c r="L46" s="86"/>
      <c r="M46" s="87"/>
      <c r="N46" s="88"/>
      <c r="O46" s="89"/>
      <c r="P46" s="90"/>
      <c r="Q46" s="90"/>
      <c r="R46" s="90"/>
      <c r="S46" s="90"/>
      <c r="T46" s="90"/>
      <c r="U46" s="90"/>
      <c r="V46" s="90"/>
      <c r="W46" s="90"/>
      <c r="X46" s="91"/>
      <c r="Y46" s="45"/>
      <c r="Z46" s="2"/>
      <c r="AA46" s="2"/>
      <c r="AB46" s="2"/>
      <c r="AC46" s="2"/>
      <c r="AD46" s="2"/>
      <c r="AE46" s="2"/>
      <c r="AF46" s="2"/>
    </row>
    <row r="47" spans="1:32" ht="15.75" customHeight="1">
      <c r="A47" s="9"/>
      <c r="B47" s="92"/>
      <c r="C47" s="84"/>
      <c r="D47" s="84"/>
      <c r="E47" s="84"/>
      <c r="F47" s="84"/>
      <c r="G47" s="93"/>
      <c r="H47" s="10"/>
      <c r="I47" s="85"/>
      <c r="J47" s="86"/>
      <c r="K47" s="86"/>
      <c r="L47" s="86"/>
      <c r="M47" s="87"/>
      <c r="N47" s="88"/>
      <c r="O47" s="89"/>
      <c r="P47" s="90"/>
      <c r="Q47" s="90"/>
      <c r="R47" s="90"/>
      <c r="S47" s="90"/>
      <c r="T47" s="90"/>
      <c r="U47" s="90"/>
      <c r="V47" s="90"/>
      <c r="W47" s="90"/>
      <c r="X47" s="91"/>
      <c r="Y47" s="45"/>
      <c r="Z47" s="2"/>
      <c r="AA47" s="2"/>
      <c r="AB47" s="2"/>
      <c r="AC47" s="2"/>
      <c r="AD47" s="2"/>
      <c r="AE47" s="2"/>
      <c r="AF47" s="2"/>
    </row>
    <row r="48" spans="1:32" ht="15.75" customHeight="1">
      <c r="A48" s="9"/>
      <c r="B48" s="83" t="s">
        <v>7</v>
      </c>
      <c r="C48" s="84"/>
      <c r="D48" s="194">
        <f>+V39</f>
        <v>1696.6666666666667</v>
      </c>
      <c r="E48" s="195"/>
      <c r="F48" s="194">
        <f>+W39</f>
        <v>20360</v>
      </c>
      <c r="G48" s="193"/>
      <c r="H48" s="10"/>
      <c r="I48" s="85"/>
      <c r="J48" s="86"/>
      <c r="K48" s="86"/>
      <c r="L48" s="86"/>
      <c r="M48" s="87"/>
      <c r="N48" s="88"/>
      <c r="O48" s="89"/>
      <c r="P48" s="90"/>
      <c r="Q48" s="90"/>
      <c r="R48" s="90"/>
      <c r="S48" s="90"/>
      <c r="T48" s="90"/>
      <c r="U48" s="90"/>
      <c r="V48" s="90"/>
      <c r="W48" s="90"/>
      <c r="X48" s="91"/>
      <c r="Y48" s="45"/>
      <c r="Z48" s="2"/>
      <c r="AA48" s="2"/>
      <c r="AB48" s="2"/>
      <c r="AC48" s="2"/>
      <c r="AD48" s="2"/>
      <c r="AE48" s="2"/>
      <c r="AF48" s="2"/>
    </row>
    <row r="49" spans="1:32" ht="15.75" customHeight="1">
      <c r="A49" s="9"/>
      <c r="B49" s="92"/>
      <c r="C49" s="84"/>
      <c r="D49" s="84"/>
      <c r="E49" s="84"/>
      <c r="F49" s="84"/>
      <c r="G49" s="93"/>
      <c r="H49" s="10"/>
      <c r="I49" s="85"/>
      <c r="J49" s="86"/>
      <c r="K49" s="86"/>
      <c r="L49" s="86"/>
      <c r="M49" s="87"/>
      <c r="N49" s="88"/>
      <c r="O49" s="89"/>
      <c r="P49" s="90"/>
      <c r="Q49" s="90"/>
      <c r="R49" s="90"/>
      <c r="S49" s="90"/>
      <c r="T49" s="90"/>
      <c r="U49" s="90"/>
      <c r="V49" s="90"/>
      <c r="W49" s="90"/>
      <c r="X49" s="91"/>
      <c r="Y49" s="45"/>
      <c r="Z49" s="2"/>
      <c r="AA49" s="2"/>
      <c r="AB49" s="2"/>
      <c r="AC49" s="2"/>
      <c r="AD49" s="2"/>
      <c r="AE49" s="2"/>
      <c r="AF49" s="2"/>
    </row>
    <row r="50" spans="1:32" ht="15.75" customHeight="1">
      <c r="A50" s="9"/>
      <c r="B50" s="94" t="s">
        <v>78</v>
      </c>
      <c r="C50" s="95"/>
      <c r="D50" s="196">
        <f>+D46-D48</f>
        <v>1019.9999999999998</v>
      </c>
      <c r="E50" s="197"/>
      <c r="F50" s="196">
        <f>+F46-F48</f>
        <v>12240</v>
      </c>
      <c r="G50" s="198"/>
      <c r="H50" s="10"/>
      <c r="I50" s="85"/>
      <c r="J50" s="86"/>
      <c r="K50" s="86"/>
      <c r="L50" s="86"/>
      <c r="M50" s="87"/>
      <c r="N50" s="88"/>
      <c r="O50" s="89"/>
      <c r="P50" s="90"/>
      <c r="Q50" s="90"/>
      <c r="R50" s="90"/>
      <c r="S50" s="90"/>
      <c r="T50" s="90"/>
      <c r="U50" s="90"/>
      <c r="V50" s="90"/>
      <c r="W50" s="90"/>
      <c r="X50" s="91"/>
      <c r="Y50" s="45"/>
      <c r="Z50" s="2"/>
      <c r="AA50" s="2"/>
      <c r="AB50" s="2"/>
      <c r="AC50" s="2"/>
      <c r="AD50" s="2"/>
      <c r="AE50" s="2"/>
      <c r="AF50" s="2"/>
    </row>
    <row r="51" spans="1:32" ht="15.75" customHeight="1">
      <c r="A51" s="2"/>
      <c r="B51" s="31"/>
      <c r="C51" s="31"/>
      <c r="D51" s="31"/>
      <c r="E51" s="31"/>
      <c r="F51" s="31"/>
      <c r="G51" s="31"/>
      <c r="H51" s="9"/>
      <c r="I51" s="85"/>
      <c r="J51" s="86"/>
      <c r="K51" s="86"/>
      <c r="L51" s="86"/>
      <c r="M51" s="87"/>
      <c r="N51" s="88"/>
      <c r="O51" s="89"/>
      <c r="P51" s="90"/>
      <c r="Q51" s="90"/>
      <c r="R51" s="90"/>
      <c r="S51" s="90"/>
      <c r="T51" s="90"/>
      <c r="U51" s="90"/>
      <c r="V51" s="90"/>
      <c r="W51" s="90"/>
      <c r="X51" s="91"/>
      <c r="Y51" s="45"/>
      <c r="Z51" s="2"/>
      <c r="AA51" s="2"/>
      <c r="AB51" s="2"/>
      <c r="AC51" s="2"/>
      <c r="AD51" s="2"/>
      <c r="AE51" s="2"/>
      <c r="AF51" s="2"/>
    </row>
    <row r="52" spans="1:32" ht="15.75" customHeight="1">
      <c r="A52" s="2"/>
      <c r="B52" s="5"/>
      <c r="C52" s="5"/>
      <c r="D52" s="5"/>
      <c r="E52" s="5"/>
      <c r="F52" s="5"/>
      <c r="G52" s="5"/>
      <c r="H52" s="9"/>
      <c r="I52" s="85"/>
      <c r="J52" s="86"/>
      <c r="K52" s="86"/>
      <c r="L52" s="86"/>
      <c r="M52" s="87"/>
      <c r="N52" s="88"/>
      <c r="O52" s="89"/>
      <c r="P52" s="90"/>
      <c r="Q52" s="90"/>
      <c r="R52" s="90"/>
      <c r="S52" s="90"/>
      <c r="T52" s="90"/>
      <c r="U52" s="90"/>
      <c r="V52" s="90"/>
      <c r="W52" s="90"/>
      <c r="X52" s="91"/>
      <c r="Y52" s="45"/>
      <c r="Z52" s="2"/>
      <c r="AA52" s="2"/>
      <c r="AB52" s="2"/>
      <c r="AC52" s="2"/>
      <c r="AD52" s="2"/>
      <c r="AE52" s="2"/>
      <c r="AF52" s="2"/>
    </row>
    <row r="53" spans="1:32" ht="15.75" customHeight="1">
      <c r="A53" s="2"/>
      <c r="B53" s="53" t="s">
        <v>79</v>
      </c>
      <c r="C53" s="5"/>
      <c r="D53" s="5"/>
      <c r="E53" s="5"/>
      <c r="F53" s="5"/>
      <c r="G53" s="5"/>
      <c r="H53" s="9"/>
      <c r="I53" s="85"/>
      <c r="J53" s="86"/>
      <c r="K53" s="86"/>
      <c r="L53" s="86"/>
      <c r="M53" s="87"/>
      <c r="N53" s="88"/>
      <c r="O53" s="89"/>
      <c r="P53" s="90"/>
      <c r="Q53" s="90"/>
      <c r="R53" s="90"/>
      <c r="S53" s="90"/>
      <c r="T53" s="90"/>
      <c r="U53" s="90"/>
      <c r="V53" s="90"/>
      <c r="W53" s="90"/>
      <c r="X53" s="91"/>
      <c r="Y53" s="45"/>
      <c r="Z53" s="2"/>
      <c r="AA53" s="2"/>
      <c r="AB53" s="2"/>
      <c r="AC53" s="2"/>
      <c r="AD53" s="2"/>
      <c r="AE53" s="2"/>
      <c r="AF53" s="2"/>
    </row>
    <row r="54" spans="1:32" ht="15.75" customHeight="1">
      <c r="A54" s="2"/>
      <c r="B54" s="8"/>
      <c r="C54" s="8"/>
      <c r="D54" s="8"/>
      <c r="E54" s="8"/>
      <c r="F54" s="8"/>
      <c r="G54" s="8"/>
      <c r="H54" s="9"/>
      <c r="I54" s="96"/>
      <c r="J54" s="97"/>
      <c r="K54" s="97"/>
      <c r="L54" s="97"/>
      <c r="M54" s="98"/>
      <c r="N54" s="99"/>
      <c r="O54" s="100"/>
      <c r="P54" s="101"/>
      <c r="Q54" s="101"/>
      <c r="R54" s="101"/>
      <c r="S54" s="101"/>
      <c r="T54" s="101"/>
      <c r="U54" s="101"/>
      <c r="V54" s="101"/>
      <c r="W54" s="101"/>
      <c r="X54" s="102"/>
      <c r="Y54" s="45"/>
      <c r="Z54" s="2"/>
      <c r="AA54" s="2"/>
      <c r="AB54" s="2"/>
      <c r="AC54" s="2"/>
      <c r="AD54" s="2"/>
      <c r="AE54" s="2"/>
      <c r="AF54" s="2"/>
    </row>
    <row r="55" spans="1:32" ht="26.25" customHeight="1">
      <c r="A55" s="9"/>
      <c r="B55" s="199" t="s">
        <v>80</v>
      </c>
      <c r="C55" s="173"/>
      <c r="D55" s="173"/>
      <c r="E55" s="173"/>
      <c r="F55" s="173"/>
      <c r="G55" s="187"/>
      <c r="H55" s="45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2"/>
      <c r="Z55" s="2"/>
      <c r="AA55" s="2"/>
      <c r="AB55" s="2"/>
      <c r="AC55" s="2"/>
      <c r="AD55" s="2"/>
      <c r="AE55" s="2"/>
      <c r="AF55" s="2"/>
    </row>
    <row r="56" spans="1:32" ht="15.75" customHeight="1">
      <c r="A56" s="9"/>
      <c r="B56" s="74"/>
      <c r="C56" s="75"/>
      <c r="D56" s="200" t="s">
        <v>76</v>
      </c>
      <c r="E56" s="201"/>
      <c r="F56" s="200" t="s">
        <v>77</v>
      </c>
      <c r="G56" s="185"/>
      <c r="H56" s="4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5.75" customHeight="1">
      <c r="A57" s="9"/>
      <c r="B57" s="83" t="s">
        <v>6</v>
      </c>
      <c r="C57" s="84"/>
      <c r="D57" s="194">
        <f>+F21</f>
        <v>2716.6666666666665</v>
      </c>
      <c r="E57" s="195"/>
      <c r="F57" s="194">
        <f>+G21</f>
        <v>32600</v>
      </c>
      <c r="G57" s="193"/>
      <c r="H57" s="4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5.75" customHeight="1">
      <c r="A58" s="9"/>
      <c r="B58" s="92"/>
      <c r="C58" s="84"/>
      <c r="D58" s="84"/>
      <c r="E58" s="84"/>
      <c r="F58" s="84"/>
      <c r="G58" s="93"/>
      <c r="H58" s="4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5.75" customHeight="1">
      <c r="A59" s="9"/>
      <c r="B59" s="83" t="s">
        <v>66</v>
      </c>
      <c r="C59" s="84"/>
      <c r="D59" s="194">
        <f>+F38</f>
        <v>100</v>
      </c>
      <c r="E59" s="195"/>
      <c r="F59" s="194">
        <f>+G38</f>
        <v>1200</v>
      </c>
      <c r="G59" s="193"/>
      <c r="H59" s="4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5.75" customHeight="1">
      <c r="A60" s="9"/>
      <c r="B60" s="92"/>
      <c r="C60" s="84"/>
      <c r="D60" s="84"/>
      <c r="E60" s="84"/>
      <c r="F60" s="84"/>
      <c r="G60" s="93"/>
      <c r="H60" s="45"/>
      <c r="I60" s="2"/>
      <c r="J60" s="2"/>
      <c r="K60" s="2"/>
      <c r="L60" s="10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5.75" customHeight="1">
      <c r="A61" s="9"/>
      <c r="B61" s="83" t="s">
        <v>7</v>
      </c>
      <c r="C61" s="84"/>
      <c r="D61" s="194">
        <f>+D57-D59</f>
        <v>2616.6666666666665</v>
      </c>
      <c r="E61" s="195"/>
      <c r="F61" s="194">
        <f>+F57-F59</f>
        <v>31400</v>
      </c>
      <c r="G61" s="193"/>
      <c r="H61" s="4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5.75" customHeight="1">
      <c r="A62" s="9"/>
      <c r="B62" s="104"/>
      <c r="C62" s="105"/>
      <c r="D62" s="105"/>
      <c r="E62" s="105"/>
      <c r="F62" s="105"/>
      <c r="G62" s="106"/>
      <c r="H62" s="4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5.75" customHeight="1">
      <c r="A63" s="2"/>
      <c r="B63" s="44"/>
      <c r="C63" s="44"/>
      <c r="D63" s="44"/>
      <c r="E63" s="44"/>
      <c r="F63" s="44"/>
      <c r="G63" s="4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5.75" customHeight="1">
      <c r="A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5.75" customHeight="1">
      <c r="A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5.75" customHeight="1">
      <c r="A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5.75" customHeight="1">
      <c r="A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5.75" customHeight="1">
      <c r="A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5.75" customHeight="1">
      <c r="A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5.75" customHeight="1">
      <c r="A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5.75" customHeight="1">
      <c r="A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5.75" customHeight="1">
      <c r="A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5.75" customHeight="1">
      <c r="A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5.75" customHeight="1">
      <c r="A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5.75" customHeight="1">
      <c r="A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5.75" customHeight="1">
      <c r="A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5.75" customHeight="1">
      <c r="A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5.75" customHeight="1">
      <c r="A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5.75" customHeight="1">
      <c r="A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5.75" customHeight="1">
      <c r="A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5.75" customHeight="1">
      <c r="A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5.75" customHeight="1">
      <c r="A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5.75" customHeight="1">
      <c r="A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5.75" customHeight="1">
      <c r="A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5.75" customHeight="1">
      <c r="A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5.75" customHeight="1">
      <c r="A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5.75" customHeight="1">
      <c r="A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5.75" customHeight="1">
      <c r="A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5.75" customHeight="1">
      <c r="A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5.75" customHeight="1">
      <c r="A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5.75" customHeight="1">
      <c r="A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5.75" customHeight="1">
      <c r="A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5.75" customHeight="1">
      <c r="A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5.75" customHeight="1">
      <c r="A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5.75" customHeight="1">
      <c r="A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5.75" customHeight="1">
      <c r="A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5.75" customHeight="1">
      <c r="A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5.75" customHeight="1">
      <c r="A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5.75" customHeight="1">
      <c r="A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5.75" customHeight="1">
      <c r="A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5.75" customHeight="1">
      <c r="A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5.75" customHeight="1">
      <c r="A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5.75" customHeight="1">
      <c r="A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5.75" customHeight="1">
      <c r="A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5.75" customHeight="1">
      <c r="A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5.75" customHeight="1">
      <c r="A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5.75" customHeight="1">
      <c r="A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5.75" customHeight="1">
      <c r="A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5.75" customHeight="1">
      <c r="A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5.75" customHeight="1">
      <c r="A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5.75" customHeight="1">
      <c r="A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5.75" customHeight="1">
      <c r="A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5.75" customHeight="1">
      <c r="A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5.75" customHeight="1">
      <c r="A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5.75" customHeight="1">
      <c r="A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5.75" customHeight="1">
      <c r="A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5.75" customHeight="1">
      <c r="A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5.75" customHeight="1">
      <c r="A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5.75" customHeight="1">
      <c r="A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5.75" customHeight="1">
      <c r="A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5.75" customHeight="1">
      <c r="A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5.75" customHeight="1">
      <c r="A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5.75" customHeight="1">
      <c r="A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5.75" customHeight="1">
      <c r="A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5.75" customHeight="1">
      <c r="A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5.75" customHeight="1">
      <c r="A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5.75" customHeight="1">
      <c r="A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5.75" customHeight="1">
      <c r="A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5.75" customHeight="1">
      <c r="A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5.75" customHeight="1">
      <c r="A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5.75" customHeight="1">
      <c r="A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5.75" customHeight="1">
      <c r="A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5.75" customHeight="1">
      <c r="A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5.75" customHeight="1">
      <c r="A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5.75" customHeight="1">
      <c r="A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5.75" customHeight="1">
      <c r="A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5.75" customHeight="1">
      <c r="A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5.75" customHeight="1">
      <c r="A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5.75" customHeight="1">
      <c r="A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5.75" customHeight="1">
      <c r="A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5.75" customHeight="1">
      <c r="A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5.75" customHeight="1">
      <c r="A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5.75" customHeight="1">
      <c r="A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5.75" customHeight="1">
      <c r="A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5.75" customHeight="1">
      <c r="A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5.75" customHeight="1">
      <c r="A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5.75" customHeight="1">
      <c r="A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5.75" customHeight="1">
      <c r="A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5.75" customHeight="1">
      <c r="A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5.75" customHeight="1">
      <c r="A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5.75" customHeight="1">
      <c r="A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5.75" customHeight="1">
      <c r="A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5.75" customHeight="1">
      <c r="A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5.75" customHeight="1">
      <c r="A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5.75" customHeight="1">
      <c r="A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5.75" customHeight="1">
      <c r="A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5.75" customHeight="1">
      <c r="A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5.75" customHeight="1">
      <c r="A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5.75" customHeight="1">
      <c r="A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5.75" customHeight="1">
      <c r="A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5.75" customHeight="1">
      <c r="A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5.75" customHeight="1">
      <c r="A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5.75" customHeight="1">
      <c r="A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5.75" customHeight="1">
      <c r="A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5.75" customHeight="1">
      <c r="A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5.75" customHeight="1">
      <c r="A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5.75" customHeight="1">
      <c r="A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5.75" customHeight="1">
      <c r="A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5.75" customHeight="1">
      <c r="A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5.75" customHeight="1">
      <c r="A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5.75" customHeight="1">
      <c r="A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5.75" customHeight="1">
      <c r="A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5.75" customHeight="1">
      <c r="A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5.75" customHeight="1">
      <c r="A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5.75" customHeight="1">
      <c r="A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5.75" customHeight="1">
      <c r="A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5.75" customHeight="1">
      <c r="A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5.75" customHeight="1">
      <c r="A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5.75" customHeight="1">
      <c r="A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5.75" customHeight="1">
      <c r="A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5.75" customHeight="1">
      <c r="A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5.75" customHeight="1">
      <c r="A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5.75" customHeight="1">
      <c r="A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5.75" customHeight="1">
      <c r="A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5.75" customHeight="1">
      <c r="A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5.75" customHeight="1">
      <c r="A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5.75" customHeight="1">
      <c r="A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5.75" customHeight="1">
      <c r="A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5.75" customHeight="1">
      <c r="A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5.75" customHeight="1">
      <c r="A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5.75" customHeight="1">
      <c r="A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5.75" customHeight="1">
      <c r="A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5.75" customHeight="1">
      <c r="A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5.75" customHeight="1">
      <c r="A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5.75" customHeight="1">
      <c r="A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5.75" customHeight="1">
      <c r="A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5.75" customHeight="1">
      <c r="A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5.75" customHeight="1">
      <c r="A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5.75" customHeight="1">
      <c r="A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5.75" customHeight="1">
      <c r="A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5.75" customHeight="1">
      <c r="A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5.75" customHeight="1">
      <c r="A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5.75" customHeight="1">
      <c r="A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5.75" customHeight="1">
      <c r="A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5.75" customHeight="1">
      <c r="A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5.75" customHeight="1">
      <c r="A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5.75" customHeight="1">
      <c r="A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5.75" customHeight="1">
      <c r="A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5.75" customHeight="1">
      <c r="A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5.75" customHeight="1">
      <c r="A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5.75" customHeight="1">
      <c r="A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5.75" customHeight="1">
      <c r="A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5.75" customHeight="1">
      <c r="A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5.75" customHeight="1">
      <c r="A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5.75" customHeight="1">
      <c r="A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5.75" customHeight="1">
      <c r="A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5.75" customHeight="1">
      <c r="A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5.75" customHeight="1">
      <c r="A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5.75" customHeight="1">
      <c r="A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5.75" customHeight="1">
      <c r="A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5.75" customHeight="1">
      <c r="A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5.75" customHeight="1">
      <c r="A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5.75" customHeight="1">
      <c r="A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5.75" customHeight="1">
      <c r="A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5.75" customHeight="1">
      <c r="A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5.75" customHeight="1">
      <c r="A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5.75" customHeight="1">
      <c r="A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5.75" customHeight="1">
      <c r="A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5.75" customHeight="1">
      <c r="A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5.75" customHeight="1">
      <c r="A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5.75" customHeight="1">
      <c r="A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5.75" customHeight="1">
      <c r="A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5.75" customHeight="1">
      <c r="A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5.75" customHeight="1">
      <c r="A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5.75" customHeight="1">
      <c r="A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5.75" customHeight="1">
      <c r="A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5.75" customHeight="1">
      <c r="A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5.75" customHeight="1">
      <c r="A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5.75" customHeight="1">
      <c r="A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5.75" customHeight="1">
      <c r="A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5.75" customHeight="1">
      <c r="A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5.75" customHeight="1">
      <c r="A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5.75" customHeight="1">
      <c r="A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5.75" customHeight="1">
      <c r="A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5.75" customHeight="1">
      <c r="A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5.75" customHeight="1">
      <c r="A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5.75" customHeight="1">
      <c r="A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5.75" customHeight="1">
      <c r="A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5.75" customHeight="1">
      <c r="A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5.75" customHeight="1">
      <c r="A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5.75" customHeight="1">
      <c r="A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5.75" customHeight="1">
      <c r="A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5.75" customHeight="1">
      <c r="A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5.75" customHeight="1">
      <c r="A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5.75" customHeight="1">
      <c r="A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5.75" customHeight="1">
      <c r="A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5.75" customHeight="1">
      <c r="A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5.75" customHeight="1">
      <c r="A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5.75" customHeight="1">
      <c r="A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5.75" customHeight="1">
      <c r="A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5.75" customHeight="1">
      <c r="A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5.75" customHeight="1">
      <c r="A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5.75" customHeight="1">
      <c r="A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5.75" customHeight="1">
      <c r="A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5.75" customHeight="1">
      <c r="A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5.75" customHeight="1">
      <c r="A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5.75" customHeight="1">
      <c r="A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5.75" customHeight="1">
      <c r="A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5.75" customHeight="1">
      <c r="A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5.75" customHeight="1">
      <c r="A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5.75" customHeight="1">
      <c r="A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5.75" customHeight="1">
      <c r="A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5.75" customHeight="1">
      <c r="A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5.75" customHeight="1">
      <c r="A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5.75" customHeight="1">
      <c r="A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5.75" customHeight="1">
      <c r="A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5.75" customHeight="1">
      <c r="A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5.75" customHeight="1">
      <c r="A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5.75" customHeight="1">
      <c r="A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5.75" customHeight="1">
      <c r="A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5.75" customHeight="1">
      <c r="A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5.75" customHeight="1">
      <c r="A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5.75" customHeight="1">
      <c r="A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5.75" customHeight="1">
      <c r="A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5.75" customHeight="1">
      <c r="A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5.75" customHeight="1">
      <c r="A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5.75" customHeight="1">
      <c r="A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5.75" customHeight="1">
      <c r="A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5.75" customHeight="1">
      <c r="A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5.75" customHeight="1">
      <c r="A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5.75" customHeight="1">
      <c r="A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5.75" customHeight="1">
      <c r="A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5.75" customHeight="1">
      <c r="A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5.75" customHeight="1">
      <c r="A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5.75" customHeight="1">
      <c r="A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5.75" customHeight="1">
      <c r="A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5.75" customHeight="1">
      <c r="A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5.75" customHeight="1">
      <c r="A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5.75" customHeight="1">
      <c r="A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5.75" customHeight="1">
      <c r="A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5.75" customHeight="1">
      <c r="A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5.75" customHeight="1">
      <c r="A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5.75" customHeight="1">
      <c r="A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5.75" customHeight="1">
      <c r="A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5.75" customHeight="1">
      <c r="A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5.75" customHeight="1">
      <c r="A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5.75" customHeight="1">
      <c r="A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5.75" customHeight="1">
      <c r="A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5.75" customHeight="1">
      <c r="A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5.75" customHeight="1">
      <c r="A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5.75" customHeight="1">
      <c r="A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5.75" customHeight="1">
      <c r="A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5.75" customHeight="1">
      <c r="A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5.75" customHeight="1">
      <c r="A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5.75" customHeight="1">
      <c r="A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5.75" customHeight="1">
      <c r="A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5.75" customHeight="1">
      <c r="A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5.75" customHeight="1">
      <c r="A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5.75" customHeight="1">
      <c r="A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5.75" customHeight="1">
      <c r="A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5.75" customHeight="1">
      <c r="A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5.75" customHeight="1">
      <c r="A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5.75" customHeight="1">
      <c r="A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5.75" customHeight="1">
      <c r="A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5.75" customHeight="1">
      <c r="A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5.75" customHeight="1">
      <c r="A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5.75" customHeight="1">
      <c r="A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5.75" customHeight="1">
      <c r="A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5.75" customHeight="1">
      <c r="A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5.75" customHeight="1">
      <c r="A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5.75" customHeight="1">
      <c r="A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5.75" customHeight="1">
      <c r="A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5.75" customHeight="1">
      <c r="A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5.75" customHeight="1">
      <c r="A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5.75" customHeight="1">
      <c r="A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5.75" customHeight="1">
      <c r="A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5.75" customHeight="1">
      <c r="A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5.75" customHeight="1">
      <c r="A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5.75" customHeight="1">
      <c r="A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5.75" customHeight="1">
      <c r="A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5.75" customHeight="1">
      <c r="A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5.75" customHeight="1">
      <c r="A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5.75" customHeight="1">
      <c r="A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5.75" customHeight="1">
      <c r="A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5.75" customHeight="1">
      <c r="A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5.75" customHeight="1">
      <c r="A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5.75" customHeight="1">
      <c r="A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5.75" customHeight="1">
      <c r="A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5.75" customHeight="1">
      <c r="A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5.75" customHeight="1">
      <c r="A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5.75" customHeight="1">
      <c r="A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5.75" customHeight="1">
      <c r="A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5.75" customHeight="1">
      <c r="A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5.75" customHeight="1">
      <c r="A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5.75" customHeight="1">
      <c r="A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5.75" customHeight="1">
      <c r="A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5.75" customHeight="1">
      <c r="A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5.75" customHeight="1">
      <c r="A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5.75" customHeight="1">
      <c r="A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5.75" customHeight="1">
      <c r="A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5.75" customHeight="1">
      <c r="A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5.75" customHeight="1">
      <c r="A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5.75" customHeight="1">
      <c r="A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5.75" customHeight="1">
      <c r="A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5.75" customHeight="1">
      <c r="A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5.75" customHeight="1">
      <c r="A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5.75" customHeight="1">
      <c r="A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5.75" customHeight="1">
      <c r="A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5.75" customHeight="1">
      <c r="A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5.75" customHeight="1">
      <c r="A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5.75" customHeight="1">
      <c r="A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5.75" customHeight="1">
      <c r="A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5.75" customHeight="1">
      <c r="A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5.75" customHeight="1">
      <c r="A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5.75" customHeight="1">
      <c r="A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5.75" customHeight="1">
      <c r="A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5.75" customHeight="1">
      <c r="A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5.75" customHeight="1">
      <c r="A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5.75" customHeight="1">
      <c r="A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5.75" customHeight="1">
      <c r="A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5.75" customHeight="1">
      <c r="A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5.75" customHeight="1">
      <c r="A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5.75" customHeight="1">
      <c r="A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5.75" customHeight="1">
      <c r="A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5.75" customHeight="1">
      <c r="A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5.75" customHeight="1">
      <c r="A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5.75" customHeight="1">
      <c r="A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5.75" customHeight="1">
      <c r="A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5.75" customHeight="1">
      <c r="A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5.75" customHeight="1">
      <c r="A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5.75" customHeight="1">
      <c r="A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5.75" customHeight="1">
      <c r="A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5.75" customHeight="1">
      <c r="A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5.75" customHeight="1">
      <c r="A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5.75" customHeight="1">
      <c r="A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5.75" customHeight="1">
      <c r="A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5.75" customHeight="1">
      <c r="A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5.75" customHeight="1">
      <c r="A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5.75" customHeight="1">
      <c r="A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5.75" customHeight="1">
      <c r="A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5.75" customHeight="1">
      <c r="A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5.75" customHeight="1">
      <c r="A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5.75" customHeight="1">
      <c r="A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5.75" customHeight="1">
      <c r="A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5.75" customHeight="1">
      <c r="A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5.75" customHeight="1">
      <c r="A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5.75" customHeight="1">
      <c r="A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5.75" customHeight="1">
      <c r="A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5.75" customHeight="1">
      <c r="A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5.75" customHeight="1">
      <c r="A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5.75" customHeight="1">
      <c r="A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5.75" customHeight="1">
      <c r="A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5.75" customHeight="1">
      <c r="A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5.75" customHeight="1">
      <c r="A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5.75" customHeight="1">
      <c r="A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5.75" customHeight="1">
      <c r="A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5.75" customHeight="1">
      <c r="A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5.75" customHeight="1">
      <c r="A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5.75" customHeight="1">
      <c r="A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5.75" customHeight="1">
      <c r="A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5.75" customHeight="1">
      <c r="A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5.75" customHeight="1">
      <c r="A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5.75" customHeight="1">
      <c r="A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5.75" customHeight="1">
      <c r="A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5.75" customHeight="1">
      <c r="A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5.75" customHeight="1">
      <c r="A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5.75" customHeight="1">
      <c r="A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5.75" customHeight="1">
      <c r="A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5.75" customHeight="1">
      <c r="A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5.75" customHeight="1">
      <c r="A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5.75" customHeight="1">
      <c r="A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5.75" customHeight="1">
      <c r="A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5.75" customHeight="1">
      <c r="A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5.75" customHeight="1">
      <c r="A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5.75" customHeight="1">
      <c r="A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5.75" customHeight="1">
      <c r="A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5.75" customHeight="1">
      <c r="A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5.75" customHeight="1">
      <c r="A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5.75" customHeight="1">
      <c r="A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5.75" customHeight="1">
      <c r="A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5.75" customHeight="1">
      <c r="A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5.75" customHeight="1">
      <c r="A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5.75" customHeight="1">
      <c r="A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5.75" customHeight="1">
      <c r="A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5.75" customHeight="1">
      <c r="A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5.75" customHeight="1">
      <c r="A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5.75" customHeight="1">
      <c r="A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5.75" customHeight="1">
      <c r="A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5.75" customHeight="1">
      <c r="A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5.75" customHeight="1">
      <c r="A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5.75" customHeight="1">
      <c r="A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5.75" customHeight="1">
      <c r="A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5.75" customHeight="1">
      <c r="A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5.75" customHeight="1">
      <c r="A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5.75" customHeight="1">
      <c r="A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5.75" customHeight="1">
      <c r="A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5.75" customHeight="1">
      <c r="A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5.75" customHeight="1">
      <c r="A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5.75" customHeight="1">
      <c r="A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5.75" customHeight="1">
      <c r="A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5.75" customHeight="1">
      <c r="A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5.75" customHeight="1">
      <c r="A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5.75" customHeight="1">
      <c r="A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5.75" customHeight="1">
      <c r="A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5.75" customHeight="1">
      <c r="A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5.75" customHeight="1">
      <c r="A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5.75" customHeight="1">
      <c r="A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5.75" customHeight="1">
      <c r="A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5.75" customHeight="1">
      <c r="A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5.75" customHeight="1">
      <c r="A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5.75" customHeight="1">
      <c r="A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5.75" customHeight="1">
      <c r="A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5.75" customHeight="1">
      <c r="A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5.75" customHeight="1">
      <c r="A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5.75" customHeight="1">
      <c r="A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5.75" customHeight="1">
      <c r="A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5.75" customHeight="1">
      <c r="A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5.75" customHeight="1">
      <c r="A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5.75" customHeight="1">
      <c r="A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5.75" customHeight="1">
      <c r="A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5.75" customHeight="1">
      <c r="A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5.75" customHeight="1">
      <c r="A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5.75" customHeight="1">
      <c r="A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5.75" customHeight="1">
      <c r="A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5.75" customHeight="1">
      <c r="A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5.75" customHeight="1">
      <c r="A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5.75" customHeight="1">
      <c r="A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5.75" customHeight="1">
      <c r="A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5.75" customHeight="1">
      <c r="A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5.75" customHeight="1">
      <c r="A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5.75" customHeight="1">
      <c r="A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5.75" customHeight="1">
      <c r="A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5.75" customHeight="1">
      <c r="A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5.75" customHeight="1">
      <c r="A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5.75" customHeight="1">
      <c r="A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5.75" customHeight="1">
      <c r="A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5.75" customHeight="1">
      <c r="A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5.75" customHeight="1">
      <c r="A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5.75" customHeight="1">
      <c r="A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5.75" customHeight="1">
      <c r="A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5.75" customHeight="1">
      <c r="A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5.75" customHeight="1">
      <c r="A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5.75" customHeight="1">
      <c r="A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5.75" customHeight="1">
      <c r="A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5.75" customHeight="1">
      <c r="A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5.75" customHeight="1">
      <c r="A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5.75" customHeight="1">
      <c r="A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5.75" customHeight="1">
      <c r="A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5.75" customHeight="1">
      <c r="A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5.75" customHeight="1">
      <c r="A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5.75" customHeight="1">
      <c r="A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5.75" customHeight="1">
      <c r="A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5.75" customHeight="1">
      <c r="A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5.75" customHeight="1">
      <c r="A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5.75" customHeight="1">
      <c r="A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5.75" customHeight="1">
      <c r="A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5.75" customHeight="1">
      <c r="A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5.75" customHeight="1">
      <c r="A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5.75" customHeight="1">
      <c r="A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5.75" customHeight="1">
      <c r="A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5.75" customHeight="1">
      <c r="A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5.75" customHeight="1">
      <c r="A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5.75" customHeight="1">
      <c r="A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5.75" customHeight="1">
      <c r="A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5.75" customHeight="1">
      <c r="A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5.75" customHeight="1">
      <c r="A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5.75" customHeight="1">
      <c r="A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5.75" customHeight="1">
      <c r="A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5.75" customHeight="1">
      <c r="A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5.75" customHeight="1">
      <c r="A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5.75" customHeight="1">
      <c r="A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5.75" customHeight="1">
      <c r="A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5.75" customHeight="1">
      <c r="A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5.75" customHeight="1">
      <c r="A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5.75" customHeight="1">
      <c r="A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5.75" customHeight="1">
      <c r="A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5.75" customHeight="1">
      <c r="A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5.75" customHeight="1">
      <c r="A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5.75" customHeight="1">
      <c r="A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5.75" customHeight="1">
      <c r="A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5.75" customHeight="1">
      <c r="A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5.75" customHeight="1">
      <c r="A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5.75" customHeight="1">
      <c r="A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5.75" customHeight="1">
      <c r="A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5.75" customHeight="1">
      <c r="A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5.75" customHeight="1">
      <c r="A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5.75" customHeight="1">
      <c r="A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5.75" customHeight="1">
      <c r="A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5.75" customHeight="1">
      <c r="A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5.75" customHeight="1">
      <c r="A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5.75" customHeight="1">
      <c r="A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5.75" customHeight="1">
      <c r="A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5.75" customHeight="1">
      <c r="A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5.75" customHeight="1">
      <c r="A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5.75" customHeight="1">
      <c r="A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5.75" customHeight="1">
      <c r="A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5.75" customHeight="1">
      <c r="A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5.75" customHeight="1">
      <c r="A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5.75" customHeight="1">
      <c r="A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5.75" customHeight="1">
      <c r="A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5.75" customHeight="1">
      <c r="A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5.75" customHeight="1">
      <c r="A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5.75" customHeight="1">
      <c r="A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5.75" customHeight="1">
      <c r="A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5.75" customHeight="1">
      <c r="A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5.75" customHeight="1">
      <c r="A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5.75" customHeight="1">
      <c r="A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5.75" customHeight="1">
      <c r="A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5.75" customHeight="1">
      <c r="A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5.75" customHeight="1">
      <c r="A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5.75" customHeight="1">
      <c r="A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5.75" customHeight="1">
      <c r="A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5.75" customHeight="1">
      <c r="A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5.75" customHeight="1">
      <c r="A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5.75" customHeight="1">
      <c r="A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5.75" customHeight="1">
      <c r="A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5.75" customHeight="1">
      <c r="A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5.75" customHeight="1">
      <c r="A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5.75" customHeight="1">
      <c r="A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5.75" customHeight="1">
      <c r="A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5.75" customHeight="1">
      <c r="A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5.75" customHeight="1">
      <c r="A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5.75" customHeight="1">
      <c r="A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5.75" customHeight="1">
      <c r="A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5.75" customHeight="1">
      <c r="A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5.75" customHeight="1">
      <c r="A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5.75" customHeight="1">
      <c r="A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5.75" customHeight="1">
      <c r="A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5.75" customHeight="1">
      <c r="A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5.75" customHeight="1">
      <c r="A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5.75" customHeight="1">
      <c r="A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5.75" customHeight="1">
      <c r="A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5.75" customHeight="1">
      <c r="A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5.75" customHeight="1">
      <c r="A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5.75" customHeight="1">
      <c r="A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5.75" customHeight="1">
      <c r="A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5.75" customHeight="1">
      <c r="A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5.75" customHeight="1">
      <c r="A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5.75" customHeight="1">
      <c r="A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5.75" customHeight="1">
      <c r="A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5.75" customHeight="1">
      <c r="A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5.75" customHeight="1">
      <c r="A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5.75" customHeight="1">
      <c r="A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5.75" customHeight="1">
      <c r="A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5.75" customHeight="1">
      <c r="A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5.75" customHeight="1">
      <c r="A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5.75" customHeight="1">
      <c r="A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5.75" customHeight="1">
      <c r="A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5.75" customHeight="1">
      <c r="A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5.75" customHeight="1">
      <c r="A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5.75" customHeight="1">
      <c r="A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5.75" customHeight="1">
      <c r="A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5.75" customHeight="1">
      <c r="A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5.75" customHeight="1">
      <c r="A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5.75" customHeight="1">
      <c r="A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5.75" customHeight="1">
      <c r="A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5.75" customHeight="1">
      <c r="A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5.75" customHeight="1">
      <c r="A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5.75" customHeight="1">
      <c r="A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5.75" customHeight="1">
      <c r="A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5.75" customHeight="1">
      <c r="A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5.75" customHeight="1">
      <c r="A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5.75" customHeight="1">
      <c r="A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5.75" customHeight="1">
      <c r="A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5.75" customHeight="1">
      <c r="A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5.75" customHeight="1">
      <c r="A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5.75" customHeight="1">
      <c r="A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5.75" customHeight="1">
      <c r="A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5.75" customHeight="1">
      <c r="A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5.75" customHeight="1">
      <c r="A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5.75" customHeight="1">
      <c r="A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5.75" customHeight="1">
      <c r="A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5.75" customHeight="1">
      <c r="A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5.75" customHeight="1">
      <c r="A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5.75" customHeight="1">
      <c r="A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5.75" customHeight="1">
      <c r="A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5.75" customHeight="1">
      <c r="A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5.75" customHeight="1">
      <c r="A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5.75" customHeight="1">
      <c r="A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5.75" customHeight="1">
      <c r="A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5.75" customHeight="1">
      <c r="A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5.75" customHeight="1">
      <c r="A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5.75" customHeight="1">
      <c r="A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5.75" customHeight="1">
      <c r="A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5.75" customHeight="1">
      <c r="A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5.75" customHeight="1">
      <c r="A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5.75" customHeight="1">
      <c r="A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5.75" customHeight="1">
      <c r="A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5.75" customHeight="1">
      <c r="A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5.75" customHeight="1">
      <c r="A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5.75" customHeight="1">
      <c r="A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5.75" customHeight="1">
      <c r="A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5.75" customHeight="1">
      <c r="A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5.75" customHeight="1">
      <c r="A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5.75" customHeight="1">
      <c r="A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5.75" customHeight="1">
      <c r="A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5.75" customHeight="1">
      <c r="A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5.75" customHeight="1">
      <c r="A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5.75" customHeight="1">
      <c r="A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5.75" customHeight="1">
      <c r="A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5.75" customHeight="1">
      <c r="A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5.75" customHeight="1">
      <c r="A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5.75" customHeight="1">
      <c r="A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5.75" customHeight="1">
      <c r="A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5.75" customHeight="1">
      <c r="A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5.75" customHeight="1">
      <c r="A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5.75" customHeight="1">
      <c r="A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5.75" customHeight="1">
      <c r="A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5.75" customHeight="1">
      <c r="A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5.75" customHeight="1">
      <c r="A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5.75" customHeight="1">
      <c r="A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5.75" customHeight="1">
      <c r="A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5.75" customHeight="1">
      <c r="A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5.75" customHeight="1">
      <c r="A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5.75" customHeight="1">
      <c r="A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5.75" customHeight="1">
      <c r="A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5.75" customHeight="1">
      <c r="A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5.75" customHeight="1">
      <c r="A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5.75" customHeight="1">
      <c r="A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5.75" customHeight="1">
      <c r="A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5.75" customHeight="1">
      <c r="A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5.75" customHeight="1">
      <c r="A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5.75" customHeight="1">
      <c r="A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5.75" customHeight="1">
      <c r="A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5.75" customHeight="1">
      <c r="A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5.75" customHeight="1">
      <c r="A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5.75" customHeight="1">
      <c r="A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5.75" customHeight="1">
      <c r="A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5.75" customHeight="1">
      <c r="A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5.75" customHeight="1">
      <c r="A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5.75" customHeight="1">
      <c r="A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5.75" customHeight="1">
      <c r="A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5.75" customHeight="1">
      <c r="A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5.75" customHeight="1">
      <c r="A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5.75" customHeight="1">
      <c r="A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5.75" customHeight="1">
      <c r="A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5.75" customHeight="1">
      <c r="A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5.75" customHeight="1">
      <c r="A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5.75" customHeight="1">
      <c r="A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5.75" customHeight="1">
      <c r="A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5.75" customHeight="1">
      <c r="A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5.75" customHeight="1">
      <c r="A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5.75" customHeight="1">
      <c r="A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5.75" customHeight="1">
      <c r="A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5.75" customHeight="1">
      <c r="A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5.75" customHeight="1">
      <c r="A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5.75" customHeight="1">
      <c r="A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5.75" customHeight="1">
      <c r="A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5.75" customHeight="1">
      <c r="A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5.75" customHeight="1">
      <c r="A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5.75" customHeight="1">
      <c r="A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5.75" customHeight="1">
      <c r="A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5.75" customHeight="1">
      <c r="A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5.75" customHeight="1">
      <c r="A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5.75" customHeight="1">
      <c r="A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5.75" customHeight="1">
      <c r="A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5.75" customHeight="1">
      <c r="A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5.75" customHeight="1">
      <c r="A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5.75" customHeight="1">
      <c r="A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5.75" customHeight="1">
      <c r="A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5.75" customHeight="1">
      <c r="A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5.75" customHeight="1">
      <c r="A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5.75" customHeight="1">
      <c r="A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5.75" customHeight="1">
      <c r="A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5.75" customHeight="1">
      <c r="A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5.75" customHeight="1">
      <c r="A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5.75" customHeight="1">
      <c r="A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5.75" customHeight="1">
      <c r="A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5.75" customHeight="1">
      <c r="A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5.75" customHeight="1">
      <c r="A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5.75" customHeight="1">
      <c r="A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5.75" customHeight="1">
      <c r="A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5.75" customHeight="1">
      <c r="A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5.75" customHeight="1">
      <c r="A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5.75" customHeight="1">
      <c r="A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5.75" customHeight="1">
      <c r="A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5.75" customHeight="1">
      <c r="A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5.75" customHeight="1">
      <c r="A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5.75" customHeight="1">
      <c r="A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5.75" customHeight="1">
      <c r="A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5.75" customHeight="1">
      <c r="A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5.75" customHeight="1">
      <c r="A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5.75" customHeight="1">
      <c r="A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5.75" customHeight="1">
      <c r="A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5.75" customHeight="1">
      <c r="A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5.75" customHeight="1">
      <c r="A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5.75" customHeight="1">
      <c r="A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5.75" customHeight="1">
      <c r="A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5.75" customHeight="1">
      <c r="A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5.75" customHeight="1">
      <c r="A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5.75" customHeight="1">
      <c r="A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5.75" customHeight="1">
      <c r="A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5.75" customHeight="1">
      <c r="A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5.75" customHeight="1">
      <c r="A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5.75" customHeight="1">
      <c r="A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5.75" customHeight="1">
      <c r="A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5.75" customHeight="1">
      <c r="A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5.75" customHeight="1">
      <c r="A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5.75" customHeight="1">
      <c r="A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5.75" customHeight="1">
      <c r="A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5.75" customHeight="1">
      <c r="A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5.75" customHeight="1">
      <c r="A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5.75" customHeight="1">
      <c r="A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5.75" customHeight="1">
      <c r="A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5.75" customHeight="1">
      <c r="A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5.75" customHeight="1">
      <c r="A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5.75" customHeight="1">
      <c r="A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5.75" customHeight="1">
      <c r="A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5.75" customHeight="1">
      <c r="A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5.75" customHeight="1">
      <c r="A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5.75" customHeight="1">
      <c r="A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5.75" customHeight="1">
      <c r="A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5.75" customHeight="1">
      <c r="A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5.75" customHeight="1">
      <c r="A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5.75" customHeight="1">
      <c r="A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5.75" customHeight="1">
      <c r="A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5.75" customHeight="1">
      <c r="A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5.75" customHeight="1">
      <c r="A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5.75" customHeight="1">
      <c r="A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5.75" customHeight="1">
      <c r="A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5.75" customHeight="1">
      <c r="A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5.75" customHeight="1">
      <c r="A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5.75" customHeight="1">
      <c r="A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5.75" customHeight="1">
      <c r="A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5.75" customHeight="1">
      <c r="A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5.75" customHeight="1">
      <c r="A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5.75" customHeight="1">
      <c r="A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5.75" customHeight="1">
      <c r="A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5.75" customHeight="1">
      <c r="A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5.75" customHeight="1">
      <c r="A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5.75" customHeight="1">
      <c r="A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5.75" customHeight="1">
      <c r="A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5.75" customHeight="1">
      <c r="A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5.75" customHeight="1">
      <c r="A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5.75" customHeight="1">
      <c r="A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5.75" customHeight="1">
      <c r="A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5.75" customHeight="1">
      <c r="A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5.75" customHeight="1">
      <c r="A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5.75" customHeight="1">
      <c r="A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5.75" customHeight="1">
      <c r="A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5.75" customHeight="1">
      <c r="A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5.75" customHeight="1">
      <c r="A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5.75" customHeight="1">
      <c r="A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5.75" customHeight="1">
      <c r="A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5.75" customHeight="1">
      <c r="A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5.75" customHeight="1">
      <c r="A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5.75" customHeight="1">
      <c r="A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5.75" customHeight="1">
      <c r="A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5.75" customHeight="1">
      <c r="A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5.75" customHeight="1">
      <c r="A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5.75" customHeight="1">
      <c r="A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5.75" customHeight="1">
      <c r="A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5.75" customHeight="1">
      <c r="A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5.75" customHeight="1">
      <c r="A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5.75" customHeight="1">
      <c r="A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5.75" customHeight="1">
      <c r="A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5.75" customHeight="1">
      <c r="A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5.75" customHeight="1">
      <c r="A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5.75" customHeight="1">
      <c r="A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5.75" customHeight="1">
      <c r="A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5.75" customHeight="1">
      <c r="A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5.75" customHeight="1">
      <c r="A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5.75" customHeight="1">
      <c r="A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5.75" customHeight="1">
      <c r="A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5.75" customHeight="1">
      <c r="A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5.75" customHeight="1">
      <c r="A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5.75" customHeight="1">
      <c r="A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5.75" customHeight="1">
      <c r="A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5.75" customHeight="1">
      <c r="A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5.75" customHeight="1">
      <c r="A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5.75" customHeight="1">
      <c r="A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5.75" customHeight="1">
      <c r="A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5.75" customHeight="1">
      <c r="A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5.75" customHeight="1">
      <c r="A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5.75" customHeight="1">
      <c r="A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5.75" customHeight="1">
      <c r="A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5.75" customHeight="1">
      <c r="A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5.75" customHeight="1">
      <c r="A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5.75" customHeight="1">
      <c r="A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5.75" customHeight="1">
      <c r="A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82">
    <mergeCell ref="I33:J33"/>
    <mergeCell ref="I34:J34"/>
    <mergeCell ref="I23:J23"/>
    <mergeCell ref="I24:J24"/>
    <mergeCell ref="I25:J25"/>
    <mergeCell ref="I26:J26"/>
    <mergeCell ref="I28:J28"/>
    <mergeCell ref="I29:J29"/>
    <mergeCell ref="I30:J30"/>
    <mergeCell ref="I32:O32"/>
    <mergeCell ref="I31:J31"/>
    <mergeCell ref="Q36:R36"/>
    <mergeCell ref="Q37:R37"/>
    <mergeCell ref="Q39:R39"/>
    <mergeCell ref="B35:G35"/>
    <mergeCell ref="I35:J35"/>
    <mergeCell ref="Q35:R35"/>
    <mergeCell ref="B36:C36"/>
    <mergeCell ref="I36:J36"/>
    <mergeCell ref="B37:C37"/>
    <mergeCell ref="B38:C38"/>
    <mergeCell ref="Q38:R38"/>
    <mergeCell ref="I37:J37"/>
    <mergeCell ref="I38:J38"/>
    <mergeCell ref="D59:E59"/>
    <mergeCell ref="F59:G59"/>
    <mergeCell ref="B44:G44"/>
    <mergeCell ref="I44:X44"/>
    <mergeCell ref="D45:E45"/>
    <mergeCell ref="F45:G45"/>
    <mergeCell ref="F46:G46"/>
    <mergeCell ref="Q16:W16"/>
    <mergeCell ref="B17:C17"/>
    <mergeCell ref="B18:C18"/>
    <mergeCell ref="B19:C19"/>
    <mergeCell ref="D61:E61"/>
    <mergeCell ref="F61:G61"/>
    <mergeCell ref="D46:E46"/>
    <mergeCell ref="D48:E48"/>
    <mergeCell ref="F48:G48"/>
    <mergeCell ref="D50:E50"/>
    <mergeCell ref="F50:G50"/>
    <mergeCell ref="B55:G55"/>
    <mergeCell ref="F56:G56"/>
    <mergeCell ref="D56:E56"/>
    <mergeCell ref="D57:E57"/>
    <mergeCell ref="F57:G57"/>
    <mergeCell ref="B20:C20"/>
    <mergeCell ref="B21:C21"/>
    <mergeCell ref="C1:W5"/>
    <mergeCell ref="B14:G14"/>
    <mergeCell ref="I14:W14"/>
    <mergeCell ref="B15:C15"/>
    <mergeCell ref="Q15:R15"/>
    <mergeCell ref="B16:C16"/>
    <mergeCell ref="Q17:R17"/>
    <mergeCell ref="I15:J15"/>
    <mergeCell ref="I17:J17"/>
    <mergeCell ref="I18:J18"/>
    <mergeCell ref="I19:J19"/>
    <mergeCell ref="I20:J20"/>
    <mergeCell ref="I21:J21"/>
    <mergeCell ref="I16:O16"/>
    <mergeCell ref="Q28:R28"/>
    <mergeCell ref="Q18:R18"/>
    <mergeCell ref="Q19:R19"/>
    <mergeCell ref="Q20:R20"/>
    <mergeCell ref="Q21:R21"/>
    <mergeCell ref="Q22:W22"/>
    <mergeCell ref="Q23:R23"/>
    <mergeCell ref="Q24:R24"/>
    <mergeCell ref="I22:J22"/>
    <mergeCell ref="Q25:R25"/>
    <mergeCell ref="Q26:R26"/>
    <mergeCell ref="I27:O27"/>
    <mergeCell ref="Q27:R27"/>
    <mergeCell ref="Q33:R33"/>
    <mergeCell ref="Q34:R34"/>
    <mergeCell ref="Q29:W29"/>
    <mergeCell ref="Q30:R30"/>
    <mergeCell ref="Q31:R31"/>
    <mergeCell ref="Q32:R32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Hoja1!$A$2:$A$6</xm:f>
          </x14:formula1>
          <xm:sqref>D16:D20 T17:T20 L17:L25 T23:T27 L28:L30 D37 L33:L37 T30:T37</xm:sqref>
        </x14:dataValidation>
        <x14:dataValidation type="list" allowBlank="1" showErrorMessage="1">
          <x14:formula1>
            <xm:f>Hoja1!$A$10:$A$11</xm:f>
          </x14:formula1>
          <xm:sqref>K17:K25 S23:S27 K28:K30 K33:K37 S30:S37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tabSelected="1" topLeftCell="A2" workbookViewId="0">
      <selection activeCell="D73" sqref="D73"/>
    </sheetView>
  </sheetViews>
  <sheetFormatPr baseColWidth="10" defaultColWidth="12.58203125" defaultRowHeight="15" customHeight="1"/>
  <cols>
    <col min="1" max="1" width="9.58203125" customWidth="1"/>
    <col min="2" max="2" width="15.4140625" customWidth="1"/>
    <col min="3" max="3" width="13.58203125" customWidth="1"/>
    <col min="4" max="4" width="19.08203125" customWidth="1"/>
    <col min="5" max="11" width="16" customWidth="1"/>
    <col min="12" max="12" width="13.58203125" customWidth="1"/>
    <col min="13" max="13" width="12.4140625" customWidth="1"/>
    <col min="15" max="15" width="13.58203125" customWidth="1"/>
    <col min="16" max="16" width="2.58203125" customWidth="1"/>
    <col min="17" max="17" width="12.08203125" customWidth="1"/>
    <col min="18" max="18" width="12.5" customWidth="1"/>
    <col min="19" max="19" width="13.58203125" customWidth="1"/>
    <col min="20" max="21" width="12.08203125" customWidth="1"/>
    <col min="22" max="22" width="13" customWidth="1"/>
    <col min="23" max="23" width="10" customWidth="1"/>
    <col min="24" max="24" width="3.4140625" customWidth="1"/>
    <col min="25" max="26" width="13" customWidth="1"/>
    <col min="27" max="27" width="10" customWidth="1"/>
    <col min="28" max="28" width="12.08203125" customWidth="1"/>
    <col min="29" max="30" width="10" customWidth="1"/>
    <col min="31" max="31" width="12.08203125" customWidth="1"/>
  </cols>
  <sheetData>
    <row r="1" spans="1:31" ht="15" customHeight="1">
      <c r="A1" s="1"/>
      <c r="B1" s="1"/>
      <c r="C1" s="214"/>
      <c r="D1" s="177"/>
      <c r="E1" s="177"/>
      <c r="F1" s="215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2"/>
      <c r="X1" s="2"/>
      <c r="Y1" s="2"/>
      <c r="Z1" s="2"/>
      <c r="AA1" s="2"/>
      <c r="AB1" s="2"/>
      <c r="AC1" s="2"/>
      <c r="AD1" s="2"/>
      <c r="AE1" s="2"/>
    </row>
    <row r="2" spans="1:31" ht="15" customHeight="1">
      <c r="A2" s="1"/>
      <c r="B2" s="1"/>
      <c r="C2" s="179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80"/>
      <c r="W2" s="2"/>
      <c r="X2" s="2"/>
      <c r="Y2" s="2"/>
      <c r="Z2" s="2"/>
      <c r="AA2" s="2"/>
      <c r="AB2" s="2"/>
      <c r="AC2" s="2"/>
      <c r="AD2" s="2"/>
      <c r="AE2" s="2"/>
    </row>
    <row r="3" spans="1:31" ht="15" customHeight="1">
      <c r="A3" s="1"/>
      <c r="B3" s="1"/>
      <c r="C3" s="179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80"/>
      <c r="W3" s="2"/>
      <c r="X3" s="2"/>
      <c r="Y3" s="2"/>
      <c r="Z3" s="2"/>
      <c r="AA3" s="2"/>
      <c r="AB3" s="2"/>
      <c r="AC3" s="2"/>
      <c r="AD3" s="2"/>
      <c r="AE3" s="2"/>
    </row>
    <row r="4" spans="1:31" ht="15" customHeight="1">
      <c r="A4" s="1"/>
      <c r="B4" s="1"/>
      <c r="C4" s="179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80"/>
      <c r="W4" s="2"/>
      <c r="X4" s="2"/>
      <c r="Y4" s="2"/>
      <c r="Z4" s="2"/>
      <c r="AA4" s="2"/>
      <c r="AB4" s="2"/>
      <c r="AC4" s="2"/>
      <c r="AD4" s="2"/>
      <c r="AE4" s="2"/>
    </row>
    <row r="5" spans="1:31" ht="63.75" customHeight="1">
      <c r="A5" s="1"/>
      <c r="B5" s="1"/>
      <c r="C5" s="181"/>
      <c r="D5" s="170"/>
      <c r="E5" s="170"/>
      <c r="F5" s="215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8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>
      <c r="A6" s="2"/>
      <c r="B6" s="2"/>
      <c r="C6" s="3"/>
      <c r="D6" s="3"/>
      <c r="E6" s="3"/>
      <c r="F6" s="14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4.5">
      <c r="A7" s="2"/>
      <c r="B7" s="107" t="s">
        <v>1</v>
      </c>
      <c r="C7" s="5"/>
      <c r="D7" s="5"/>
      <c r="E7" s="5"/>
      <c r="F7" s="31"/>
      <c r="G7" s="5"/>
      <c r="H7" s="5"/>
      <c r="I7" s="5"/>
      <c r="J7" s="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4.5">
      <c r="A8" s="2"/>
      <c r="B8" s="53" t="s">
        <v>81</v>
      </c>
      <c r="C8" s="53"/>
      <c r="D8" s="53"/>
      <c r="E8" s="53"/>
      <c r="F8" s="147"/>
      <c r="G8" s="53"/>
      <c r="H8" s="53"/>
      <c r="I8" s="5"/>
      <c r="J8" s="5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4.5">
      <c r="A9" s="2"/>
      <c r="B9" s="53" t="s">
        <v>82</v>
      </c>
      <c r="C9" s="53"/>
      <c r="D9" s="53"/>
      <c r="E9" s="53"/>
      <c r="F9" s="147"/>
      <c r="G9" s="53"/>
      <c r="H9" s="53"/>
      <c r="I9" s="5"/>
      <c r="J9" s="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4.5">
      <c r="A10" s="2"/>
      <c r="B10" s="53" t="s">
        <v>83</v>
      </c>
      <c r="C10" s="53"/>
      <c r="D10" s="53"/>
      <c r="E10" s="53"/>
      <c r="F10" s="147"/>
      <c r="G10" s="53"/>
      <c r="H10" s="53"/>
      <c r="I10" s="5"/>
      <c r="J10" s="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4.5">
      <c r="A11" s="2"/>
      <c r="B11" s="7"/>
      <c r="C11" s="7"/>
      <c r="D11" s="7"/>
      <c r="E11" s="7"/>
      <c r="F11" s="44"/>
      <c r="G11" s="7"/>
      <c r="H11" s="7"/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20">
      <c r="A12" s="9"/>
      <c r="B12" s="216" t="s">
        <v>6</v>
      </c>
      <c r="C12" s="190"/>
      <c r="D12" s="217"/>
      <c r="E12" s="108" t="s">
        <v>84</v>
      </c>
      <c r="F12" s="108" t="s">
        <v>84</v>
      </c>
      <c r="G12" s="108" t="s">
        <v>85</v>
      </c>
      <c r="H12" s="108" t="s">
        <v>86</v>
      </c>
      <c r="I12" s="108" t="s">
        <v>87</v>
      </c>
      <c r="J12" s="108" t="s">
        <v>88</v>
      </c>
      <c r="K12" s="108" t="s">
        <v>89</v>
      </c>
      <c r="L12" s="45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20">
      <c r="A13" s="9"/>
      <c r="B13" s="218"/>
      <c r="C13" s="209"/>
      <c r="D13" s="219"/>
      <c r="E13" s="220" t="s">
        <v>6</v>
      </c>
      <c r="F13" s="221"/>
      <c r="G13" s="173"/>
      <c r="H13" s="173"/>
      <c r="I13" s="173"/>
      <c r="J13" s="173"/>
      <c r="K13" s="187"/>
      <c r="L13" s="45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 t="s">
        <v>8</v>
      </c>
      <c r="Z13" s="2"/>
      <c r="AA13" s="2"/>
      <c r="AB13" s="2"/>
      <c r="AC13" s="2"/>
      <c r="AD13" s="2"/>
      <c r="AE13" s="2"/>
    </row>
    <row r="14" spans="1:31" ht="14.5">
      <c r="A14" s="9"/>
      <c r="B14" s="222" t="s">
        <v>16</v>
      </c>
      <c r="C14" s="190"/>
      <c r="D14" s="109">
        <f>+Presupuesto!F16</f>
        <v>2000</v>
      </c>
      <c r="E14" s="110">
        <f t="shared" ref="E14:E19" si="0">+D14</f>
        <v>2000</v>
      </c>
      <c r="F14" s="148"/>
      <c r="G14" s="111">
        <f t="shared" ref="G14:G19" si="1">+D14</f>
        <v>2000</v>
      </c>
      <c r="H14" s="111">
        <f t="shared" ref="H14:H19" si="2">+D14</f>
        <v>2000</v>
      </c>
      <c r="I14" s="111">
        <f t="shared" ref="I14:I19" si="3">+D14</f>
        <v>2000</v>
      </c>
      <c r="J14" s="111">
        <f t="shared" ref="J14:J19" si="4">+D14</f>
        <v>2000</v>
      </c>
      <c r="K14" s="112">
        <f t="shared" ref="K14:K19" si="5">+D14</f>
        <v>2000</v>
      </c>
      <c r="L14" s="45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4.5">
      <c r="A15" s="9"/>
      <c r="B15" s="167" t="s">
        <v>21</v>
      </c>
      <c r="C15" s="168"/>
      <c r="D15" s="20">
        <f>+Presupuesto!F17</f>
        <v>33.333333333333336</v>
      </c>
      <c r="E15" s="113">
        <f t="shared" si="0"/>
        <v>33.333333333333336</v>
      </c>
      <c r="F15" s="149"/>
      <c r="G15" s="114">
        <f t="shared" si="1"/>
        <v>33.333333333333336</v>
      </c>
      <c r="H15" s="114">
        <f t="shared" si="2"/>
        <v>33.333333333333336</v>
      </c>
      <c r="I15" s="114">
        <f t="shared" si="3"/>
        <v>33.333333333333336</v>
      </c>
      <c r="J15" s="114">
        <f t="shared" si="4"/>
        <v>33.333333333333336</v>
      </c>
      <c r="K15" s="115">
        <f t="shared" si="5"/>
        <v>33.333333333333336</v>
      </c>
      <c r="L15" s="45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16" t="s">
        <v>19</v>
      </c>
      <c r="Z15" s="117" t="s">
        <v>20</v>
      </c>
      <c r="AA15" s="2"/>
      <c r="AB15" s="2"/>
      <c r="AC15" s="2"/>
      <c r="AD15" s="2"/>
      <c r="AE15" s="25"/>
    </row>
    <row r="16" spans="1:31" ht="14.5">
      <c r="A16" s="9"/>
      <c r="B16" s="167" t="s">
        <v>27</v>
      </c>
      <c r="C16" s="168"/>
      <c r="D16" s="20">
        <f>+Presupuesto!F18</f>
        <v>83.333333333333329</v>
      </c>
      <c r="E16" s="113">
        <f t="shared" si="0"/>
        <v>83.333333333333329</v>
      </c>
      <c r="F16" s="149"/>
      <c r="G16" s="114">
        <f t="shared" si="1"/>
        <v>83.333333333333329</v>
      </c>
      <c r="H16" s="114">
        <f t="shared" si="2"/>
        <v>83.333333333333329</v>
      </c>
      <c r="I16" s="114">
        <f t="shared" si="3"/>
        <v>83.333333333333329</v>
      </c>
      <c r="J16" s="114">
        <f t="shared" si="4"/>
        <v>83.333333333333329</v>
      </c>
      <c r="K16" s="115">
        <f t="shared" si="5"/>
        <v>83.333333333333329</v>
      </c>
      <c r="L16" s="4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18" t="s">
        <v>26</v>
      </c>
      <c r="Z16" s="119">
        <f>+O16+O17+O18+O19+O20+O27+O35+O34+O33+V29+V30+V31+V34</f>
        <v>0</v>
      </c>
      <c r="AA16" s="2"/>
      <c r="AB16" s="2"/>
      <c r="AC16" s="2"/>
      <c r="AD16" s="2"/>
      <c r="AE16" s="2"/>
    </row>
    <row r="17" spans="1:31" ht="14.5">
      <c r="A17" s="9"/>
      <c r="B17" s="167" t="s">
        <v>32</v>
      </c>
      <c r="C17" s="168"/>
      <c r="D17" s="20">
        <f>+Presupuesto!F19</f>
        <v>100</v>
      </c>
      <c r="E17" s="113">
        <f t="shared" si="0"/>
        <v>100</v>
      </c>
      <c r="F17" s="149"/>
      <c r="G17" s="114">
        <f t="shared" si="1"/>
        <v>100</v>
      </c>
      <c r="H17" s="114">
        <f t="shared" si="2"/>
        <v>100</v>
      </c>
      <c r="I17" s="114">
        <f t="shared" si="3"/>
        <v>100</v>
      </c>
      <c r="J17" s="114">
        <f t="shared" si="4"/>
        <v>100</v>
      </c>
      <c r="K17" s="115">
        <f t="shared" si="5"/>
        <v>100</v>
      </c>
      <c r="L17" s="4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18" t="s">
        <v>31</v>
      </c>
      <c r="Z17" s="119">
        <f>+V18+V22+V23+V24+V25+V33+V35+V36+O28+O32+O33+O34+O23</f>
        <v>0</v>
      </c>
      <c r="AA17" s="2"/>
      <c r="AB17" s="2"/>
      <c r="AC17" s="2"/>
      <c r="AD17" s="2"/>
      <c r="AE17" s="2"/>
    </row>
    <row r="18" spans="1:31" ht="14.5">
      <c r="A18" s="9"/>
      <c r="B18" s="167" t="s">
        <v>37</v>
      </c>
      <c r="C18" s="168"/>
      <c r="D18" s="20">
        <f>+Presupuesto!F20</f>
        <v>500</v>
      </c>
      <c r="E18" s="120">
        <f t="shared" si="0"/>
        <v>500</v>
      </c>
      <c r="F18" s="149"/>
      <c r="G18" s="121">
        <f t="shared" si="1"/>
        <v>500</v>
      </c>
      <c r="H18" s="121">
        <f t="shared" si="2"/>
        <v>500</v>
      </c>
      <c r="I18" s="121">
        <f t="shared" si="3"/>
        <v>500</v>
      </c>
      <c r="J18" s="121">
        <f t="shared" si="4"/>
        <v>500</v>
      </c>
      <c r="K18" s="122">
        <f t="shared" si="5"/>
        <v>500</v>
      </c>
      <c r="L18" s="45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23" t="s">
        <v>36</v>
      </c>
      <c r="Z18" s="124">
        <f>+V20</f>
        <v>0</v>
      </c>
      <c r="AA18" s="2"/>
      <c r="AB18" s="2"/>
      <c r="AC18" s="2"/>
      <c r="AD18" s="2"/>
      <c r="AE18" s="2"/>
    </row>
    <row r="19" spans="1:31" ht="14.5">
      <c r="A19" s="9"/>
      <c r="B19" s="174" t="s">
        <v>90</v>
      </c>
      <c r="C19" s="175"/>
      <c r="D19" s="34">
        <f>+SUM(D14:D18)</f>
        <v>2716.6666666666665</v>
      </c>
      <c r="E19" s="125">
        <f t="shared" si="0"/>
        <v>2716.6666666666665</v>
      </c>
      <c r="F19" s="33"/>
      <c r="G19" s="33">
        <f t="shared" si="1"/>
        <v>2716.6666666666665</v>
      </c>
      <c r="H19" s="33">
        <f t="shared" si="2"/>
        <v>2716.6666666666665</v>
      </c>
      <c r="I19" s="33">
        <f t="shared" si="3"/>
        <v>2716.6666666666665</v>
      </c>
      <c r="J19" s="33">
        <f t="shared" si="4"/>
        <v>2716.6666666666665</v>
      </c>
      <c r="K19" s="34">
        <f t="shared" si="5"/>
        <v>2716.6666666666665</v>
      </c>
      <c r="L19" s="4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20">
      <c r="A20" s="9"/>
      <c r="B20" s="186" t="s">
        <v>7</v>
      </c>
      <c r="C20" s="173"/>
      <c r="D20" s="187"/>
      <c r="E20" s="186" t="s">
        <v>7</v>
      </c>
      <c r="F20" s="213"/>
      <c r="G20" s="173"/>
      <c r="H20" s="173"/>
      <c r="I20" s="173"/>
      <c r="J20" s="173"/>
      <c r="K20" s="187"/>
      <c r="L20" s="4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.75" customHeight="1">
      <c r="A21" s="9"/>
      <c r="B21" s="211" t="s">
        <v>17</v>
      </c>
      <c r="C21" s="184"/>
      <c r="D21" s="185"/>
      <c r="E21" s="126"/>
      <c r="F21" s="150"/>
      <c r="G21" s="127"/>
      <c r="H21" s="127"/>
      <c r="I21" s="127"/>
      <c r="J21" s="127"/>
      <c r="K21" s="128"/>
      <c r="L21" s="45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.75" customHeight="1">
      <c r="A22" s="9"/>
      <c r="B22" s="167" t="s">
        <v>23</v>
      </c>
      <c r="C22" s="168"/>
      <c r="D22" s="20">
        <f>+Presupuesto!N17</f>
        <v>400</v>
      </c>
      <c r="E22" s="113">
        <f t="shared" ref="E22:E31" si="6">+D22</f>
        <v>400</v>
      </c>
      <c r="F22" s="149"/>
      <c r="G22" s="114">
        <f t="shared" ref="G22:G31" si="7">+D22</f>
        <v>400</v>
      </c>
      <c r="H22" s="114">
        <f t="shared" ref="H22:H31" si="8">+D22</f>
        <v>400</v>
      </c>
      <c r="I22" s="114">
        <f t="shared" ref="I22:I31" si="9">+D22</f>
        <v>400</v>
      </c>
      <c r="J22" s="114">
        <f t="shared" ref="J22:J31" si="10">+D22</f>
        <v>400</v>
      </c>
      <c r="K22" s="115">
        <f t="shared" ref="K22:K31" si="11">+D22</f>
        <v>400</v>
      </c>
      <c r="L22" s="45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49"/>
      <c r="Y22" s="49"/>
      <c r="Z22" s="49"/>
      <c r="AA22" s="49"/>
      <c r="AB22" s="49"/>
      <c r="AC22" s="2"/>
      <c r="AD22" s="2"/>
      <c r="AE22" s="2"/>
    </row>
    <row r="23" spans="1:31" ht="15.75" customHeight="1">
      <c r="A23" s="9"/>
      <c r="B23" s="167" t="s">
        <v>28</v>
      </c>
      <c r="C23" s="168"/>
      <c r="D23" s="20">
        <f>+Presupuesto!N18</f>
        <v>50</v>
      </c>
      <c r="E23" s="113">
        <f t="shared" si="6"/>
        <v>50</v>
      </c>
      <c r="F23" s="149"/>
      <c r="G23" s="114">
        <f t="shared" si="7"/>
        <v>50</v>
      </c>
      <c r="H23" s="114">
        <f t="shared" si="8"/>
        <v>50</v>
      </c>
      <c r="I23" s="114">
        <f t="shared" si="9"/>
        <v>50</v>
      </c>
      <c r="J23" s="114">
        <f t="shared" si="10"/>
        <v>50</v>
      </c>
      <c r="K23" s="115">
        <f t="shared" si="11"/>
        <v>50</v>
      </c>
      <c r="L23" s="45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49" t="s">
        <v>17</v>
      </c>
      <c r="Y23" s="51">
        <f>+O25</f>
        <v>0</v>
      </c>
      <c r="Z23" s="49"/>
      <c r="AA23" s="49" t="s">
        <v>16</v>
      </c>
      <c r="AB23" s="51">
        <f t="shared" ref="AB23:AB27" si="12">+H15</f>
        <v>33.333333333333336</v>
      </c>
      <c r="AC23" s="2"/>
      <c r="AD23" s="2"/>
      <c r="AE23" s="2"/>
    </row>
    <row r="24" spans="1:31" ht="15.75" customHeight="1">
      <c r="A24" s="9"/>
      <c r="B24" s="167" t="s">
        <v>34</v>
      </c>
      <c r="C24" s="168"/>
      <c r="D24" s="20">
        <f>+Presupuesto!N19</f>
        <v>30</v>
      </c>
      <c r="E24" s="113">
        <f t="shared" si="6"/>
        <v>30</v>
      </c>
      <c r="F24" s="149"/>
      <c r="G24" s="114">
        <f t="shared" si="7"/>
        <v>30</v>
      </c>
      <c r="H24" s="114">
        <f t="shared" si="8"/>
        <v>30</v>
      </c>
      <c r="I24" s="114">
        <f t="shared" si="9"/>
        <v>30</v>
      </c>
      <c r="J24" s="114">
        <f t="shared" si="10"/>
        <v>30</v>
      </c>
      <c r="K24" s="115">
        <f t="shared" si="11"/>
        <v>30</v>
      </c>
      <c r="L24" s="45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49" t="s">
        <v>52</v>
      </c>
      <c r="Y24" s="51">
        <f>+O30</f>
        <v>0</v>
      </c>
      <c r="Z24" s="49"/>
      <c r="AA24" s="49" t="s">
        <v>21</v>
      </c>
      <c r="AB24" s="51">
        <f t="shared" si="12"/>
        <v>83.333333333333329</v>
      </c>
      <c r="AC24" s="2"/>
      <c r="AD24" s="2"/>
      <c r="AE24" s="2"/>
    </row>
    <row r="25" spans="1:31" ht="15.75" customHeight="1">
      <c r="A25" s="9"/>
      <c r="B25" s="167" t="s">
        <v>38</v>
      </c>
      <c r="C25" s="168"/>
      <c r="D25" s="20">
        <f>+Presupuesto!N20</f>
        <v>15</v>
      </c>
      <c r="E25" s="113">
        <f t="shared" si="6"/>
        <v>15</v>
      </c>
      <c r="F25" s="149"/>
      <c r="G25" s="114">
        <f t="shared" si="7"/>
        <v>15</v>
      </c>
      <c r="H25" s="114">
        <f t="shared" si="8"/>
        <v>15</v>
      </c>
      <c r="I25" s="114">
        <f t="shared" si="9"/>
        <v>15</v>
      </c>
      <c r="J25" s="114">
        <f t="shared" si="10"/>
        <v>15</v>
      </c>
      <c r="K25" s="115">
        <f t="shared" si="11"/>
        <v>15</v>
      </c>
      <c r="L25" s="45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49" t="s">
        <v>54</v>
      </c>
      <c r="Y25" s="51">
        <f>+O37</f>
        <v>0</v>
      </c>
      <c r="Z25" s="49"/>
      <c r="AA25" s="49" t="s">
        <v>27</v>
      </c>
      <c r="AB25" s="51">
        <f t="shared" si="12"/>
        <v>100</v>
      </c>
      <c r="AC25" s="2"/>
      <c r="AD25" s="2"/>
      <c r="AE25" s="2"/>
    </row>
    <row r="26" spans="1:31" ht="15.75" customHeight="1">
      <c r="A26" s="9"/>
      <c r="B26" s="167" t="s">
        <v>41</v>
      </c>
      <c r="C26" s="168"/>
      <c r="D26" s="20">
        <f>+Presupuesto!N21</f>
        <v>5</v>
      </c>
      <c r="E26" s="113">
        <f t="shared" si="6"/>
        <v>5</v>
      </c>
      <c r="F26" s="149"/>
      <c r="G26" s="114">
        <f t="shared" si="7"/>
        <v>5</v>
      </c>
      <c r="H26" s="114">
        <f t="shared" si="8"/>
        <v>5</v>
      </c>
      <c r="I26" s="114">
        <f t="shared" si="9"/>
        <v>5</v>
      </c>
      <c r="J26" s="114">
        <f t="shared" si="10"/>
        <v>5</v>
      </c>
      <c r="K26" s="115">
        <f t="shared" si="11"/>
        <v>5</v>
      </c>
      <c r="L26" s="45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49" t="s">
        <v>18</v>
      </c>
      <c r="Y26" s="51">
        <f>+V20</f>
        <v>0</v>
      </c>
      <c r="Z26" s="49"/>
      <c r="AA26" s="49" t="s">
        <v>32</v>
      </c>
      <c r="AB26" s="51">
        <f t="shared" si="12"/>
        <v>500</v>
      </c>
      <c r="AC26" s="2"/>
      <c r="AD26" s="2"/>
      <c r="AE26" s="2"/>
    </row>
    <row r="27" spans="1:31" ht="18" customHeight="1">
      <c r="A27" s="9"/>
      <c r="B27" s="167" t="s">
        <v>42</v>
      </c>
      <c r="C27" s="168"/>
      <c r="D27" s="20">
        <f>+Presupuesto!N22</f>
        <v>20</v>
      </c>
      <c r="E27" s="113">
        <f t="shared" si="6"/>
        <v>20</v>
      </c>
      <c r="F27" s="149"/>
      <c r="G27" s="114">
        <f t="shared" si="7"/>
        <v>20</v>
      </c>
      <c r="H27" s="114">
        <f t="shared" si="8"/>
        <v>20</v>
      </c>
      <c r="I27" s="114">
        <f t="shared" si="9"/>
        <v>20</v>
      </c>
      <c r="J27" s="114">
        <f t="shared" si="10"/>
        <v>20</v>
      </c>
      <c r="K27" s="115">
        <f t="shared" si="11"/>
        <v>20</v>
      </c>
      <c r="L27" s="45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49" t="s">
        <v>43</v>
      </c>
      <c r="Y27" s="51">
        <f>+V27</f>
        <v>0</v>
      </c>
      <c r="Z27" s="49"/>
      <c r="AA27" s="49" t="s">
        <v>37</v>
      </c>
      <c r="AB27" s="51">
        <f t="shared" si="12"/>
        <v>2716.6666666666665</v>
      </c>
      <c r="AC27" s="2"/>
      <c r="AD27" s="2"/>
      <c r="AE27" s="2"/>
    </row>
    <row r="28" spans="1:31" ht="15.75" customHeight="1">
      <c r="A28" s="9"/>
      <c r="B28" s="167" t="s">
        <v>46</v>
      </c>
      <c r="C28" s="168"/>
      <c r="D28" s="20">
        <f>+Presupuesto!N23</f>
        <v>30</v>
      </c>
      <c r="E28" s="113">
        <f t="shared" si="6"/>
        <v>30</v>
      </c>
      <c r="F28" s="149"/>
      <c r="G28" s="114">
        <f t="shared" si="7"/>
        <v>30</v>
      </c>
      <c r="H28" s="114">
        <f t="shared" si="8"/>
        <v>30</v>
      </c>
      <c r="I28" s="114">
        <f t="shared" si="9"/>
        <v>30</v>
      </c>
      <c r="J28" s="114">
        <f t="shared" si="10"/>
        <v>30</v>
      </c>
      <c r="K28" s="115">
        <f t="shared" si="11"/>
        <v>30</v>
      </c>
      <c r="L28" s="45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49" t="s">
        <v>57</v>
      </c>
      <c r="Y28" s="51">
        <f>+V37</f>
        <v>0</v>
      </c>
      <c r="Z28" s="49"/>
      <c r="AA28" s="49"/>
      <c r="AB28" s="49"/>
      <c r="AC28" s="2"/>
      <c r="AD28" s="2"/>
      <c r="AE28" s="2"/>
    </row>
    <row r="29" spans="1:31" ht="15.75" customHeight="1">
      <c r="A29" s="9"/>
      <c r="B29" s="167" t="s">
        <v>49</v>
      </c>
      <c r="C29" s="168"/>
      <c r="D29" s="20">
        <f>+Presupuesto!N24</f>
        <v>30</v>
      </c>
      <c r="E29" s="113">
        <f t="shared" si="6"/>
        <v>30</v>
      </c>
      <c r="F29" s="149"/>
      <c r="G29" s="114">
        <f t="shared" si="7"/>
        <v>30</v>
      </c>
      <c r="H29" s="114">
        <f t="shared" si="8"/>
        <v>30</v>
      </c>
      <c r="I29" s="114">
        <f t="shared" si="9"/>
        <v>30</v>
      </c>
      <c r="J29" s="114">
        <f t="shared" si="10"/>
        <v>30</v>
      </c>
      <c r="K29" s="115">
        <f t="shared" si="11"/>
        <v>30</v>
      </c>
      <c r="L29" s="45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75" customHeight="1">
      <c r="A30" s="9"/>
      <c r="B30" s="167" t="s">
        <v>39</v>
      </c>
      <c r="C30" s="168"/>
      <c r="D30" s="20">
        <f>+Presupuesto!N25</f>
        <v>0</v>
      </c>
      <c r="E30" s="129">
        <f t="shared" si="6"/>
        <v>0</v>
      </c>
      <c r="F30" s="151"/>
      <c r="G30" s="130">
        <f t="shared" si="7"/>
        <v>0</v>
      </c>
      <c r="H30" s="130">
        <f t="shared" si="8"/>
        <v>0</v>
      </c>
      <c r="I30" s="130">
        <f t="shared" si="9"/>
        <v>0</v>
      </c>
      <c r="J30" s="130">
        <f t="shared" si="10"/>
        <v>0</v>
      </c>
      <c r="K30" s="30">
        <f t="shared" si="11"/>
        <v>0</v>
      </c>
      <c r="L30" s="45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75" customHeight="1">
      <c r="A31" s="9"/>
      <c r="B31" s="174" t="s">
        <v>40</v>
      </c>
      <c r="C31" s="175"/>
      <c r="D31" s="34">
        <f>+Presupuesto!N26</f>
        <v>580</v>
      </c>
      <c r="E31" s="131">
        <f t="shared" si="6"/>
        <v>580</v>
      </c>
      <c r="F31" s="33"/>
      <c r="G31" s="33">
        <f t="shared" si="7"/>
        <v>580</v>
      </c>
      <c r="H31" s="33">
        <f t="shared" si="8"/>
        <v>580</v>
      </c>
      <c r="I31" s="33">
        <f t="shared" si="9"/>
        <v>580</v>
      </c>
      <c r="J31" s="33">
        <f t="shared" si="10"/>
        <v>580</v>
      </c>
      <c r="K31" s="34">
        <f t="shared" si="11"/>
        <v>580</v>
      </c>
      <c r="L31" s="45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75" customHeight="1">
      <c r="A32" s="9"/>
      <c r="B32" s="211" t="s">
        <v>52</v>
      </c>
      <c r="C32" s="184"/>
      <c r="D32" s="185"/>
      <c r="E32" s="126"/>
      <c r="F32" s="150"/>
      <c r="G32" s="127"/>
      <c r="H32" s="127"/>
      <c r="I32" s="127"/>
      <c r="J32" s="127"/>
      <c r="K32" s="128"/>
      <c r="L32" s="45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75" customHeight="1">
      <c r="A33" s="9"/>
      <c r="B33" s="167" t="s">
        <v>55</v>
      </c>
      <c r="C33" s="168"/>
      <c r="D33" s="20">
        <f>+Presupuesto!N28</f>
        <v>600</v>
      </c>
      <c r="E33" s="113">
        <f>+D33</f>
        <v>600</v>
      </c>
      <c r="F33" s="149"/>
      <c r="G33" s="114">
        <f>+D33</f>
        <v>600</v>
      </c>
      <c r="H33" s="114">
        <f>+D33</f>
        <v>600</v>
      </c>
      <c r="I33" s="114">
        <f>+D33</f>
        <v>600</v>
      </c>
      <c r="J33" s="114">
        <f>+D33</f>
        <v>600</v>
      </c>
      <c r="K33" s="115">
        <f>+D33</f>
        <v>600</v>
      </c>
      <c r="L33" s="45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75" customHeight="1">
      <c r="A34" s="9"/>
      <c r="B34" s="167" t="s">
        <v>56</v>
      </c>
      <c r="C34" s="168"/>
      <c r="D34" s="20">
        <f>+Presupuesto!N29</f>
        <v>100</v>
      </c>
      <c r="E34" s="113">
        <f>+D34</f>
        <v>100</v>
      </c>
      <c r="F34" s="149"/>
      <c r="G34" s="114">
        <f>+D34</f>
        <v>100</v>
      </c>
      <c r="H34" s="114">
        <f>+D34</f>
        <v>100</v>
      </c>
      <c r="I34" s="114">
        <f>+D34</f>
        <v>100</v>
      </c>
      <c r="J34" s="114">
        <f>+D34</f>
        <v>100</v>
      </c>
      <c r="K34" s="115">
        <f>+D34</f>
        <v>100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75" customHeight="1">
      <c r="A35" s="9"/>
      <c r="B35" s="208" t="s">
        <v>39</v>
      </c>
      <c r="C35" s="209"/>
      <c r="D35" s="62">
        <f>+Presupuesto!N30</f>
        <v>50</v>
      </c>
      <c r="E35" s="129">
        <f>+D35</f>
        <v>50</v>
      </c>
      <c r="F35" s="151"/>
      <c r="G35" s="130">
        <f>+D35</f>
        <v>50</v>
      </c>
      <c r="H35" s="130">
        <f>+D35</f>
        <v>50</v>
      </c>
      <c r="I35" s="130">
        <f>+D35</f>
        <v>50</v>
      </c>
      <c r="J35" s="130">
        <f>+D35</f>
        <v>50</v>
      </c>
      <c r="K35" s="30">
        <f>+D35</f>
        <v>50</v>
      </c>
      <c r="L35" s="45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.75" customHeight="1">
      <c r="A36" s="9"/>
      <c r="B36" s="174" t="s">
        <v>40</v>
      </c>
      <c r="C36" s="175"/>
      <c r="D36" s="34">
        <f>+Presupuesto!N31</f>
        <v>750</v>
      </c>
      <c r="E36" s="125">
        <f>+D36</f>
        <v>750</v>
      </c>
      <c r="F36" s="33"/>
      <c r="G36" s="33">
        <f>+D36</f>
        <v>750</v>
      </c>
      <c r="H36" s="33">
        <f>+D36</f>
        <v>750</v>
      </c>
      <c r="I36" s="33">
        <f>+D36</f>
        <v>750</v>
      </c>
      <c r="J36" s="33">
        <f>+D36</f>
        <v>750</v>
      </c>
      <c r="K36" s="34">
        <f>+D36</f>
        <v>750</v>
      </c>
      <c r="L36" s="4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.75" customHeight="1">
      <c r="A37" s="9"/>
      <c r="B37" s="211" t="s">
        <v>54</v>
      </c>
      <c r="C37" s="184"/>
      <c r="D37" s="185"/>
      <c r="E37" s="126"/>
      <c r="F37" s="150"/>
      <c r="G37" s="127"/>
      <c r="H37" s="127"/>
      <c r="I37" s="127"/>
      <c r="J37" s="127"/>
      <c r="K37" s="128"/>
      <c r="L37" s="4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75" customHeight="1">
      <c r="A38" s="9"/>
      <c r="B38" s="167" t="s">
        <v>62</v>
      </c>
      <c r="C38" s="168"/>
      <c r="D38" s="20">
        <f>+Presupuesto!N33</f>
        <v>0</v>
      </c>
      <c r="E38" s="113">
        <f t="shared" ref="E38:E43" si="13">+D38</f>
        <v>0</v>
      </c>
      <c r="F38" s="149"/>
      <c r="G38" s="114">
        <f t="shared" ref="G38:G43" si="14">+D38</f>
        <v>0</v>
      </c>
      <c r="H38" s="114">
        <f t="shared" ref="H38:H43" si="15">+D38</f>
        <v>0</v>
      </c>
      <c r="I38" s="114">
        <f t="shared" ref="I38:I43" si="16">+D38</f>
        <v>0</v>
      </c>
      <c r="J38" s="114">
        <f t="shared" ref="J38:J43" si="17">+D38</f>
        <v>0</v>
      </c>
      <c r="K38" s="115">
        <f t="shared" ref="K38:K43" si="18">+D38</f>
        <v>0</v>
      </c>
      <c r="L38" s="45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75" customHeight="1">
      <c r="A39" s="9"/>
      <c r="B39" s="167" t="s">
        <v>64</v>
      </c>
      <c r="C39" s="168"/>
      <c r="D39" s="20">
        <f>+Presupuesto!N34</f>
        <v>0</v>
      </c>
      <c r="E39" s="113">
        <f t="shared" si="13"/>
        <v>0</v>
      </c>
      <c r="F39" s="149"/>
      <c r="G39" s="114">
        <f t="shared" si="14"/>
        <v>0</v>
      </c>
      <c r="H39" s="114">
        <f t="shared" si="15"/>
        <v>0</v>
      </c>
      <c r="I39" s="114">
        <f t="shared" si="16"/>
        <v>0</v>
      </c>
      <c r="J39" s="114">
        <f t="shared" si="17"/>
        <v>0</v>
      </c>
      <c r="K39" s="115">
        <f t="shared" si="18"/>
        <v>0</v>
      </c>
      <c r="L39" s="4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75" customHeight="1">
      <c r="A40" s="9"/>
      <c r="B40" s="167" t="s">
        <v>67</v>
      </c>
      <c r="C40" s="168"/>
      <c r="D40" s="20">
        <f>+Presupuesto!N35</f>
        <v>0</v>
      </c>
      <c r="E40" s="113">
        <f t="shared" si="13"/>
        <v>0</v>
      </c>
      <c r="F40" s="149"/>
      <c r="G40" s="114">
        <f t="shared" si="14"/>
        <v>0</v>
      </c>
      <c r="H40" s="114">
        <f t="shared" si="15"/>
        <v>0</v>
      </c>
      <c r="I40" s="114">
        <f t="shared" si="16"/>
        <v>0</v>
      </c>
      <c r="J40" s="114">
        <f t="shared" si="17"/>
        <v>0</v>
      </c>
      <c r="K40" s="115">
        <f t="shared" si="18"/>
        <v>0</v>
      </c>
      <c r="L40" s="45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75" customHeight="1">
      <c r="A41" s="9"/>
      <c r="B41" s="167" t="s">
        <v>70</v>
      </c>
      <c r="C41" s="168"/>
      <c r="D41" s="20">
        <f>+Presupuesto!N36</f>
        <v>0</v>
      </c>
      <c r="E41" s="113">
        <f t="shared" si="13"/>
        <v>0</v>
      </c>
      <c r="F41" s="149"/>
      <c r="G41" s="114">
        <f t="shared" si="14"/>
        <v>0</v>
      </c>
      <c r="H41" s="114">
        <f t="shared" si="15"/>
        <v>0</v>
      </c>
      <c r="I41" s="114">
        <f t="shared" si="16"/>
        <v>0</v>
      </c>
      <c r="J41" s="114">
        <f t="shared" si="17"/>
        <v>0</v>
      </c>
      <c r="K41" s="115">
        <f t="shared" si="18"/>
        <v>0</v>
      </c>
      <c r="L41" s="45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75" customHeight="1">
      <c r="A42" s="9"/>
      <c r="B42" s="167" t="s">
        <v>39</v>
      </c>
      <c r="C42" s="168"/>
      <c r="D42" s="20">
        <f>+Presupuesto!N37</f>
        <v>0</v>
      </c>
      <c r="E42" s="129">
        <f t="shared" si="13"/>
        <v>0</v>
      </c>
      <c r="F42" s="151"/>
      <c r="G42" s="130">
        <f t="shared" si="14"/>
        <v>0</v>
      </c>
      <c r="H42" s="130">
        <f t="shared" si="15"/>
        <v>0</v>
      </c>
      <c r="I42" s="130">
        <f t="shared" si="16"/>
        <v>0</v>
      </c>
      <c r="J42" s="130">
        <f t="shared" si="17"/>
        <v>0</v>
      </c>
      <c r="K42" s="30">
        <f t="shared" si="18"/>
        <v>0</v>
      </c>
      <c r="L42" s="4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75" customHeight="1">
      <c r="A43" s="9"/>
      <c r="B43" s="210" t="s">
        <v>40</v>
      </c>
      <c r="C43" s="175"/>
      <c r="D43" s="132">
        <f>+Presupuesto!N38</f>
        <v>0</v>
      </c>
      <c r="E43" s="133">
        <f t="shared" si="13"/>
        <v>0</v>
      </c>
      <c r="F43" s="134"/>
      <c r="G43" s="134">
        <f t="shared" si="14"/>
        <v>0</v>
      </c>
      <c r="H43" s="134">
        <f t="shared" si="15"/>
        <v>0</v>
      </c>
      <c r="I43" s="134">
        <f t="shared" si="16"/>
        <v>0</v>
      </c>
      <c r="J43" s="134">
        <f t="shared" si="17"/>
        <v>0</v>
      </c>
      <c r="K43" s="132">
        <f t="shared" si="18"/>
        <v>0</v>
      </c>
      <c r="L43" s="45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>
      <c r="A44" s="9"/>
      <c r="B44" s="211" t="s">
        <v>18</v>
      </c>
      <c r="C44" s="184"/>
      <c r="D44" s="185"/>
      <c r="E44" s="126"/>
      <c r="F44" s="150"/>
      <c r="G44" s="127"/>
      <c r="H44" s="127"/>
      <c r="I44" s="127"/>
      <c r="J44" s="127"/>
      <c r="K44" s="128"/>
      <c r="L44" s="45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75" customHeight="1">
      <c r="A45" s="9"/>
      <c r="B45" s="167" t="s">
        <v>25</v>
      </c>
      <c r="C45" s="168"/>
      <c r="D45" s="20">
        <f>+Presupuesto!V17</f>
        <v>100</v>
      </c>
      <c r="E45" s="113">
        <f>+D45</f>
        <v>100</v>
      </c>
      <c r="F45" s="149"/>
      <c r="G45" s="114">
        <f>+D45</f>
        <v>100</v>
      </c>
      <c r="H45" s="114">
        <f>+D45</f>
        <v>100</v>
      </c>
      <c r="I45" s="114">
        <f>+D45</f>
        <v>100</v>
      </c>
      <c r="J45" s="114">
        <f>+D45</f>
        <v>100</v>
      </c>
      <c r="K45" s="115">
        <f>+D45</f>
        <v>100</v>
      </c>
      <c r="L45" s="45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.75" customHeight="1">
      <c r="A46" s="9"/>
      <c r="B46" s="167" t="s">
        <v>29</v>
      </c>
      <c r="C46" s="168"/>
      <c r="D46" s="20">
        <f>+Presupuesto!V18</f>
        <v>0</v>
      </c>
      <c r="E46" s="113">
        <f>+D46</f>
        <v>0</v>
      </c>
      <c r="F46" s="149"/>
      <c r="G46" s="114">
        <f>+D46</f>
        <v>0</v>
      </c>
      <c r="H46" s="114">
        <f>+D46</f>
        <v>0</v>
      </c>
      <c r="I46" s="114">
        <f>+D46</f>
        <v>0</v>
      </c>
      <c r="J46" s="114">
        <f>+D46</f>
        <v>0</v>
      </c>
      <c r="K46" s="115">
        <f>+D46</f>
        <v>0</v>
      </c>
      <c r="L46" s="45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.75" customHeight="1">
      <c r="A47" s="9"/>
      <c r="B47" s="167" t="s">
        <v>35</v>
      </c>
      <c r="C47" s="168"/>
      <c r="D47" s="20">
        <f>+Presupuesto!V19</f>
        <v>50</v>
      </c>
      <c r="E47" s="113">
        <f>+D47</f>
        <v>50</v>
      </c>
      <c r="F47" s="149"/>
      <c r="G47" s="114">
        <f>+D47</f>
        <v>50</v>
      </c>
      <c r="H47" s="114">
        <f>+D47</f>
        <v>50</v>
      </c>
      <c r="I47" s="114">
        <f>+D47</f>
        <v>50</v>
      </c>
      <c r="J47" s="114">
        <f>+D47</f>
        <v>50</v>
      </c>
      <c r="K47" s="115">
        <f>+D47</f>
        <v>50</v>
      </c>
      <c r="L47" s="45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75" customHeight="1">
      <c r="A48" s="9"/>
      <c r="B48" s="208" t="s">
        <v>39</v>
      </c>
      <c r="C48" s="209"/>
      <c r="D48" s="62">
        <f>+Presupuesto!V20</f>
        <v>50</v>
      </c>
      <c r="E48" s="129">
        <f>+D48</f>
        <v>50</v>
      </c>
      <c r="F48" s="151"/>
      <c r="G48" s="130">
        <f>+D48</f>
        <v>50</v>
      </c>
      <c r="H48" s="130">
        <f>+D48</f>
        <v>50</v>
      </c>
      <c r="I48" s="130">
        <f>+D48</f>
        <v>50</v>
      </c>
      <c r="J48" s="130">
        <f>+D48</f>
        <v>50</v>
      </c>
      <c r="K48" s="30">
        <f>+D48</f>
        <v>50</v>
      </c>
      <c r="L48" s="45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>
      <c r="A49" s="2"/>
      <c r="B49" s="212" t="s">
        <v>40</v>
      </c>
      <c r="C49" s="180"/>
      <c r="D49" s="135">
        <f>+Presupuesto!V21</f>
        <v>200</v>
      </c>
      <c r="E49" s="133">
        <f>+D49</f>
        <v>200</v>
      </c>
      <c r="F49" s="134"/>
      <c r="G49" s="134">
        <f>+D49</f>
        <v>200</v>
      </c>
      <c r="H49" s="134">
        <f>+D49</f>
        <v>200</v>
      </c>
      <c r="I49" s="134">
        <f>+D49</f>
        <v>200</v>
      </c>
      <c r="J49" s="134">
        <f>+D49</f>
        <v>200</v>
      </c>
      <c r="K49" s="132">
        <f>+D49</f>
        <v>200</v>
      </c>
      <c r="L49" s="45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>
      <c r="A50" s="9"/>
      <c r="B50" s="211" t="s">
        <v>43</v>
      </c>
      <c r="C50" s="184"/>
      <c r="D50" s="185"/>
      <c r="E50" s="126"/>
      <c r="F50" s="150"/>
      <c r="G50" s="127"/>
      <c r="H50" s="127"/>
      <c r="I50" s="127"/>
      <c r="J50" s="127"/>
      <c r="K50" s="128"/>
      <c r="L50" s="4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75" customHeight="1">
      <c r="A51" s="9"/>
      <c r="B51" s="167" t="s">
        <v>47</v>
      </c>
      <c r="C51" s="168"/>
      <c r="D51" s="20">
        <f>+Presupuesto!V23</f>
        <v>166.66666666666666</v>
      </c>
      <c r="E51" s="113">
        <f t="shared" ref="E51:E56" si="19">+D51</f>
        <v>166.66666666666666</v>
      </c>
      <c r="F51" s="149"/>
      <c r="G51" s="114">
        <f t="shared" ref="G51:G56" si="20">+D51</f>
        <v>166.66666666666666</v>
      </c>
      <c r="H51" s="114">
        <f t="shared" ref="H51:H56" si="21">+D51</f>
        <v>166.66666666666666</v>
      </c>
      <c r="I51" s="114">
        <f t="shared" ref="I51:I56" si="22">+D51</f>
        <v>166.66666666666666</v>
      </c>
      <c r="J51" s="114">
        <f t="shared" ref="J51:J56" si="23">+D51</f>
        <v>166.66666666666666</v>
      </c>
      <c r="K51" s="115">
        <v>4000</v>
      </c>
      <c r="L51" s="45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75" customHeight="1">
      <c r="A52" s="9"/>
      <c r="B52" s="167" t="s">
        <v>50</v>
      </c>
      <c r="C52" s="168"/>
      <c r="D52" s="20">
        <f>+Presupuesto!V24</f>
        <v>0</v>
      </c>
      <c r="E52" s="113">
        <f t="shared" si="19"/>
        <v>0</v>
      </c>
      <c r="F52" s="149"/>
      <c r="G52" s="114">
        <f t="shared" si="20"/>
        <v>0</v>
      </c>
      <c r="H52" s="114">
        <f t="shared" si="21"/>
        <v>0</v>
      </c>
      <c r="I52" s="114">
        <f t="shared" si="22"/>
        <v>0</v>
      </c>
      <c r="J52" s="114">
        <f t="shared" si="23"/>
        <v>0</v>
      </c>
      <c r="K52" s="115">
        <f>+D52</f>
        <v>0</v>
      </c>
      <c r="L52" s="45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75" customHeight="1">
      <c r="A53" s="9"/>
      <c r="B53" s="167" t="s">
        <v>51</v>
      </c>
      <c r="C53" s="168"/>
      <c r="D53" s="20">
        <f>+Presupuesto!V25</f>
        <v>0</v>
      </c>
      <c r="E53" s="113">
        <f t="shared" si="19"/>
        <v>0</v>
      </c>
      <c r="F53" s="149"/>
      <c r="G53" s="114">
        <f t="shared" si="20"/>
        <v>0</v>
      </c>
      <c r="H53" s="114">
        <f t="shared" si="21"/>
        <v>0</v>
      </c>
      <c r="I53" s="114">
        <f t="shared" si="22"/>
        <v>0</v>
      </c>
      <c r="J53" s="114">
        <f t="shared" si="23"/>
        <v>0</v>
      </c>
      <c r="K53" s="115">
        <f>+D53</f>
        <v>0</v>
      </c>
      <c r="L53" s="45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75" customHeight="1">
      <c r="A54" s="9"/>
      <c r="B54" s="167" t="s">
        <v>53</v>
      </c>
      <c r="C54" s="168"/>
      <c r="D54" s="20">
        <f>+Presupuesto!V26</f>
        <v>0</v>
      </c>
      <c r="E54" s="113">
        <f t="shared" si="19"/>
        <v>0</v>
      </c>
      <c r="F54" s="149"/>
      <c r="G54" s="114">
        <f t="shared" si="20"/>
        <v>0</v>
      </c>
      <c r="H54" s="114">
        <f t="shared" si="21"/>
        <v>0</v>
      </c>
      <c r="I54" s="114">
        <f t="shared" si="22"/>
        <v>0</v>
      </c>
      <c r="J54" s="114">
        <f t="shared" si="23"/>
        <v>0</v>
      </c>
      <c r="K54" s="115">
        <f>+D54</f>
        <v>0</v>
      </c>
      <c r="L54" s="45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75" customHeight="1">
      <c r="A55" s="9"/>
      <c r="B55" s="208" t="s">
        <v>37</v>
      </c>
      <c r="C55" s="209"/>
      <c r="D55" s="62">
        <f>+Presupuesto!V27</f>
        <v>0</v>
      </c>
      <c r="E55" s="129">
        <f t="shared" si="19"/>
        <v>0</v>
      </c>
      <c r="F55" s="151"/>
      <c r="G55" s="130">
        <f t="shared" si="20"/>
        <v>0</v>
      </c>
      <c r="H55" s="130">
        <f t="shared" si="21"/>
        <v>0</v>
      </c>
      <c r="I55" s="130">
        <f t="shared" si="22"/>
        <v>0</v>
      </c>
      <c r="J55" s="130">
        <f t="shared" si="23"/>
        <v>0</v>
      </c>
      <c r="K55" s="30">
        <f>+D55</f>
        <v>0</v>
      </c>
      <c r="L55" s="4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.75" customHeight="1">
      <c r="A56" s="9"/>
      <c r="B56" s="210" t="s">
        <v>40</v>
      </c>
      <c r="C56" s="175"/>
      <c r="D56" s="132">
        <f>+Presupuesto!V28</f>
        <v>166.66666666666666</v>
      </c>
      <c r="E56" s="133">
        <f t="shared" si="19"/>
        <v>166.66666666666666</v>
      </c>
      <c r="F56" s="134"/>
      <c r="G56" s="134">
        <f t="shared" si="20"/>
        <v>166.66666666666666</v>
      </c>
      <c r="H56" s="134">
        <f t="shared" si="21"/>
        <v>166.66666666666666</v>
      </c>
      <c r="I56" s="134">
        <f t="shared" si="22"/>
        <v>166.66666666666666</v>
      </c>
      <c r="J56" s="134">
        <f t="shared" si="23"/>
        <v>166.66666666666666</v>
      </c>
      <c r="K56" s="132">
        <f>+D56</f>
        <v>166.66666666666666</v>
      </c>
      <c r="L56" s="45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>
      <c r="A57" s="9"/>
      <c r="B57" s="211" t="s">
        <v>57</v>
      </c>
      <c r="C57" s="184"/>
      <c r="D57" s="185"/>
      <c r="E57" s="126"/>
      <c r="F57" s="150"/>
      <c r="G57" s="127"/>
      <c r="H57" s="127"/>
      <c r="I57" s="127"/>
      <c r="J57" s="127"/>
      <c r="K57" s="128"/>
      <c r="L57" s="45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>
      <c r="A58" s="9"/>
      <c r="B58" s="167" t="s">
        <v>58</v>
      </c>
      <c r="C58" s="168"/>
      <c r="D58" s="20">
        <f>+Presupuesto!V30</f>
        <v>0</v>
      </c>
      <c r="E58" s="113">
        <f t="shared" ref="E58:E66" si="24">+D58</f>
        <v>0</v>
      </c>
      <c r="F58" s="149"/>
      <c r="G58" s="114">
        <f t="shared" ref="G58:G66" si="25">+D58</f>
        <v>0</v>
      </c>
      <c r="H58" s="114">
        <f t="shared" ref="H58:H66" si="26">+D58</f>
        <v>0</v>
      </c>
      <c r="I58" s="114">
        <f t="shared" ref="I58:I66" si="27">+D58</f>
        <v>0</v>
      </c>
      <c r="J58" s="114">
        <f t="shared" ref="J58:J66" si="28">+D58</f>
        <v>0</v>
      </c>
      <c r="K58" s="115">
        <f t="shared" ref="K58:K66" si="29">+D58</f>
        <v>0</v>
      </c>
      <c r="L58" s="45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>
      <c r="A59" s="9"/>
      <c r="B59" s="167" t="s">
        <v>59</v>
      </c>
      <c r="C59" s="168"/>
      <c r="D59" s="20">
        <f>+Presupuesto!V31</f>
        <v>0</v>
      </c>
      <c r="E59" s="113">
        <f t="shared" si="24"/>
        <v>0</v>
      </c>
      <c r="F59" s="149"/>
      <c r="G59" s="114">
        <f t="shared" si="25"/>
        <v>0</v>
      </c>
      <c r="H59" s="114">
        <f t="shared" si="26"/>
        <v>0</v>
      </c>
      <c r="I59" s="114">
        <f t="shared" si="27"/>
        <v>0</v>
      </c>
      <c r="J59" s="114">
        <f t="shared" si="28"/>
        <v>0</v>
      </c>
      <c r="K59" s="115">
        <f t="shared" si="29"/>
        <v>0</v>
      </c>
      <c r="L59" s="45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>
      <c r="A60" s="9"/>
      <c r="B60" s="167" t="s">
        <v>60</v>
      </c>
      <c r="C60" s="168"/>
      <c r="D60" s="20">
        <f>+Presupuesto!V32</f>
        <v>0</v>
      </c>
      <c r="E60" s="113">
        <f t="shared" si="24"/>
        <v>0</v>
      </c>
      <c r="F60" s="149"/>
      <c r="G60" s="114">
        <f t="shared" si="25"/>
        <v>0</v>
      </c>
      <c r="H60" s="114">
        <f t="shared" si="26"/>
        <v>0</v>
      </c>
      <c r="I60" s="114">
        <f t="shared" si="27"/>
        <v>0</v>
      </c>
      <c r="J60" s="114">
        <f t="shared" si="28"/>
        <v>0</v>
      </c>
      <c r="K60" s="115">
        <f t="shared" si="29"/>
        <v>0</v>
      </c>
      <c r="L60" s="45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>
      <c r="A61" s="9"/>
      <c r="B61" s="167" t="s">
        <v>63</v>
      </c>
      <c r="C61" s="168"/>
      <c r="D61" s="20">
        <f>+Presupuesto!V33</f>
        <v>0</v>
      </c>
      <c r="E61" s="113">
        <f t="shared" si="24"/>
        <v>0</v>
      </c>
      <c r="F61" s="149"/>
      <c r="G61" s="114">
        <f t="shared" si="25"/>
        <v>0</v>
      </c>
      <c r="H61" s="114">
        <f t="shared" si="26"/>
        <v>0</v>
      </c>
      <c r="I61" s="114">
        <f t="shared" si="27"/>
        <v>0</v>
      </c>
      <c r="J61" s="114">
        <f t="shared" si="28"/>
        <v>0</v>
      </c>
      <c r="K61" s="115">
        <f t="shared" si="29"/>
        <v>0</v>
      </c>
      <c r="L61" s="45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>
      <c r="A62" s="9"/>
      <c r="B62" s="167" t="s">
        <v>65</v>
      </c>
      <c r="C62" s="168"/>
      <c r="D62" s="20">
        <f>+Presupuesto!V34</f>
        <v>0</v>
      </c>
      <c r="E62" s="113">
        <f t="shared" si="24"/>
        <v>0</v>
      </c>
      <c r="F62" s="149"/>
      <c r="G62" s="114">
        <f t="shared" si="25"/>
        <v>0</v>
      </c>
      <c r="H62" s="114">
        <f t="shared" si="26"/>
        <v>0</v>
      </c>
      <c r="I62" s="114">
        <f t="shared" si="27"/>
        <v>0</v>
      </c>
      <c r="J62" s="114">
        <f t="shared" si="28"/>
        <v>0</v>
      </c>
      <c r="K62" s="115">
        <f t="shared" si="29"/>
        <v>0</v>
      </c>
      <c r="L62" s="4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>
      <c r="A63" s="9"/>
      <c r="B63" s="167" t="s">
        <v>68</v>
      </c>
      <c r="C63" s="168"/>
      <c r="D63" s="20">
        <f>+Presupuesto!V35</f>
        <v>0</v>
      </c>
      <c r="E63" s="113">
        <f t="shared" si="24"/>
        <v>0</v>
      </c>
      <c r="F63" s="149"/>
      <c r="G63" s="114">
        <f t="shared" si="25"/>
        <v>0</v>
      </c>
      <c r="H63" s="114">
        <f t="shared" si="26"/>
        <v>0</v>
      </c>
      <c r="I63" s="114">
        <f t="shared" si="27"/>
        <v>0</v>
      </c>
      <c r="J63" s="114">
        <f t="shared" si="28"/>
        <v>0</v>
      </c>
      <c r="K63" s="115">
        <f t="shared" si="29"/>
        <v>0</v>
      </c>
      <c r="L63" s="45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>
      <c r="A64" s="9"/>
      <c r="B64" s="167" t="s">
        <v>43</v>
      </c>
      <c r="C64" s="168"/>
      <c r="D64" s="20">
        <f>+Presupuesto!V36</f>
        <v>0</v>
      </c>
      <c r="E64" s="113">
        <f t="shared" si="24"/>
        <v>0</v>
      </c>
      <c r="F64" s="149"/>
      <c r="G64" s="114">
        <f t="shared" si="25"/>
        <v>0</v>
      </c>
      <c r="H64" s="114">
        <f t="shared" si="26"/>
        <v>0</v>
      </c>
      <c r="I64" s="114">
        <f t="shared" si="27"/>
        <v>0</v>
      </c>
      <c r="J64" s="114">
        <f t="shared" si="28"/>
        <v>0</v>
      </c>
      <c r="K64" s="115">
        <f t="shared" si="29"/>
        <v>0</v>
      </c>
      <c r="L64" s="45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customHeight="1">
      <c r="A65" s="9"/>
      <c r="B65" s="208" t="s">
        <v>71</v>
      </c>
      <c r="C65" s="209"/>
      <c r="D65" s="62">
        <f>+Presupuesto!V37</f>
        <v>0</v>
      </c>
      <c r="E65" s="129">
        <f t="shared" si="24"/>
        <v>0</v>
      </c>
      <c r="F65" s="151"/>
      <c r="G65" s="130">
        <f t="shared" si="25"/>
        <v>0</v>
      </c>
      <c r="H65" s="130">
        <f t="shared" si="26"/>
        <v>0</v>
      </c>
      <c r="I65" s="130">
        <f t="shared" si="27"/>
        <v>0</v>
      </c>
      <c r="J65" s="130">
        <f t="shared" si="28"/>
        <v>0</v>
      </c>
      <c r="K65" s="30">
        <f t="shared" si="29"/>
        <v>0</v>
      </c>
      <c r="L65" s="45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customHeight="1">
      <c r="A66" s="9"/>
      <c r="B66" s="210" t="s">
        <v>40</v>
      </c>
      <c r="C66" s="175"/>
      <c r="D66" s="132">
        <f>+Presupuesto!V38</f>
        <v>0</v>
      </c>
      <c r="E66" s="133">
        <f t="shared" si="24"/>
        <v>0</v>
      </c>
      <c r="F66" s="134"/>
      <c r="G66" s="134">
        <f t="shared" si="25"/>
        <v>0</v>
      </c>
      <c r="H66" s="134">
        <f t="shared" si="26"/>
        <v>0</v>
      </c>
      <c r="I66" s="134">
        <f t="shared" si="27"/>
        <v>0</v>
      </c>
      <c r="J66" s="134">
        <f t="shared" si="28"/>
        <v>0</v>
      </c>
      <c r="K66" s="132">
        <f t="shared" si="29"/>
        <v>0</v>
      </c>
      <c r="L66" s="45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customHeight="1">
      <c r="A67" s="9"/>
      <c r="B67" s="223" t="s">
        <v>91</v>
      </c>
      <c r="C67" s="175"/>
      <c r="D67" s="136">
        <f>+Presupuesto!V39</f>
        <v>1696.6666666666667</v>
      </c>
      <c r="E67" s="137">
        <f t="shared" ref="E67:K67" si="30">E31+E36+E56+E49+E43+E66</f>
        <v>1696.6666666666667</v>
      </c>
      <c r="F67" s="137"/>
      <c r="G67" s="137">
        <f t="shared" si="30"/>
        <v>1696.6666666666667</v>
      </c>
      <c r="H67" s="137">
        <f t="shared" si="30"/>
        <v>1696.6666666666667</v>
      </c>
      <c r="I67" s="137">
        <f t="shared" si="30"/>
        <v>1696.6666666666667</v>
      </c>
      <c r="J67" s="137">
        <f t="shared" si="30"/>
        <v>1696.6666666666667</v>
      </c>
      <c r="K67" s="137">
        <f t="shared" si="30"/>
        <v>1696.6666666666667</v>
      </c>
      <c r="L67" s="45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customHeight="1">
      <c r="A68" s="9"/>
      <c r="B68" s="138" t="s">
        <v>92</v>
      </c>
      <c r="C68" s="139"/>
      <c r="D68" s="140"/>
      <c r="E68" s="141">
        <f t="shared" ref="E68:K68" si="31">+E19-E67</f>
        <v>1019.9999999999998</v>
      </c>
      <c r="F68" s="152"/>
      <c r="G68" s="142">
        <f t="shared" si="31"/>
        <v>1019.9999999999998</v>
      </c>
      <c r="H68" s="142">
        <f t="shared" si="31"/>
        <v>1019.9999999999998</v>
      </c>
      <c r="I68" s="142">
        <f t="shared" si="31"/>
        <v>1019.9999999999998</v>
      </c>
      <c r="J68" s="142">
        <f t="shared" si="31"/>
        <v>1019.9999999999998</v>
      </c>
      <c r="K68" s="142">
        <f t="shared" si="31"/>
        <v>1019.9999999999998</v>
      </c>
      <c r="L68" s="45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75" customHeight="1">
      <c r="A69" s="2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.75" customHeight="1">
      <c r="A70" s="2"/>
      <c r="B70" s="2"/>
      <c r="C70" s="2"/>
      <c r="D70" s="2"/>
      <c r="E70" s="2"/>
      <c r="F70" s="4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customHeight="1">
      <c r="A71" s="2"/>
      <c r="B71" s="2"/>
      <c r="C71" s="2"/>
      <c r="D71" s="2"/>
      <c r="E71" s="2"/>
      <c r="F71" s="4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75" customHeight="1">
      <c r="A72" s="2"/>
      <c r="B72" s="2"/>
      <c r="C72" s="2"/>
      <c r="D72" s="2"/>
      <c r="E72" s="2"/>
      <c r="F72" s="4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75" customHeight="1">
      <c r="A73" s="2"/>
      <c r="B73" s="2"/>
      <c r="C73" s="2"/>
      <c r="D73" s="2"/>
      <c r="E73" s="2"/>
      <c r="F73" s="4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75" customHeight="1">
      <c r="A74" s="2"/>
      <c r="B74" s="2"/>
      <c r="C74" s="2"/>
      <c r="D74" s="2"/>
      <c r="E74" s="2"/>
      <c r="F74" s="4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.75" customHeight="1">
      <c r="A75" s="2"/>
      <c r="B75" s="2"/>
      <c r="C75" s="2"/>
      <c r="D75" s="2"/>
      <c r="E75" s="2"/>
      <c r="F75" s="4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75" customHeight="1">
      <c r="A76" s="2"/>
      <c r="B76" s="2"/>
      <c r="C76" s="2"/>
      <c r="D76" s="2"/>
      <c r="E76" s="2"/>
      <c r="F76" s="4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.75" customHeight="1">
      <c r="A77" s="2"/>
      <c r="B77" s="2"/>
      <c r="C77" s="2"/>
      <c r="D77" s="2"/>
      <c r="E77" s="2"/>
      <c r="F77" s="4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75" customHeight="1">
      <c r="A78" s="2"/>
      <c r="B78" s="2"/>
      <c r="C78" s="2"/>
      <c r="D78" s="2"/>
      <c r="E78" s="2"/>
      <c r="F78" s="4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75" customHeight="1">
      <c r="A79" s="2"/>
      <c r="B79" s="2"/>
      <c r="C79" s="2"/>
      <c r="D79" s="2"/>
      <c r="E79" s="2"/>
      <c r="F79" s="4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.75" customHeight="1">
      <c r="A80" s="2"/>
      <c r="B80" s="2"/>
      <c r="C80" s="2"/>
      <c r="D80" s="2"/>
      <c r="E80" s="2"/>
      <c r="F80" s="4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75" customHeight="1">
      <c r="A81" s="2"/>
      <c r="B81" s="2"/>
      <c r="C81" s="2"/>
      <c r="D81" s="2"/>
      <c r="E81" s="2"/>
      <c r="F81" s="4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75" customHeight="1">
      <c r="A82" s="2"/>
      <c r="B82" s="2"/>
      <c r="C82" s="2"/>
      <c r="D82" s="2"/>
      <c r="E82" s="2"/>
      <c r="F82" s="4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>
      <c r="A83" s="2"/>
      <c r="B83" s="2"/>
      <c r="C83" s="2"/>
      <c r="D83" s="2"/>
      <c r="E83" s="2"/>
      <c r="F83" s="4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>
      <c r="A84" s="2"/>
      <c r="B84" s="2"/>
      <c r="C84" s="2"/>
      <c r="D84" s="2"/>
      <c r="E84" s="2"/>
      <c r="F84" s="4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>
      <c r="A85" s="2"/>
      <c r="B85" s="2"/>
      <c r="C85" s="2"/>
      <c r="D85" s="2"/>
      <c r="E85" s="2"/>
      <c r="F85" s="4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>
      <c r="A86" s="2"/>
      <c r="B86" s="2"/>
      <c r="C86" s="2"/>
      <c r="D86" s="2"/>
      <c r="E86" s="2"/>
      <c r="F86" s="4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>
      <c r="A87" s="2"/>
      <c r="B87" s="2"/>
      <c r="C87" s="2"/>
      <c r="D87" s="2"/>
      <c r="E87" s="2"/>
      <c r="F87" s="4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>
      <c r="A88" s="2"/>
      <c r="B88" s="2"/>
      <c r="C88" s="2"/>
      <c r="D88" s="2"/>
      <c r="E88" s="2"/>
      <c r="F88" s="4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>
      <c r="A89" s="2"/>
      <c r="B89" s="2"/>
      <c r="C89" s="2"/>
      <c r="D89" s="2"/>
      <c r="E89" s="2"/>
      <c r="F89" s="4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>
      <c r="A90" s="2"/>
      <c r="B90" s="2"/>
      <c r="C90" s="2"/>
      <c r="D90" s="2"/>
      <c r="E90" s="2"/>
      <c r="F90" s="4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>
      <c r="A91" s="2"/>
      <c r="B91" s="2"/>
      <c r="C91" s="2"/>
      <c r="D91" s="2"/>
      <c r="E91" s="2"/>
      <c r="F91" s="4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>
      <c r="A92" s="2"/>
      <c r="B92" s="2"/>
      <c r="C92" s="2"/>
      <c r="D92" s="2"/>
      <c r="E92" s="2"/>
      <c r="F92" s="4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>
      <c r="A93" s="2"/>
      <c r="B93" s="2"/>
      <c r="C93" s="2"/>
      <c r="D93" s="2"/>
      <c r="E93" s="2"/>
      <c r="F93" s="4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>
      <c r="A94" s="2"/>
      <c r="B94" s="2"/>
      <c r="C94" s="2"/>
      <c r="D94" s="2"/>
      <c r="E94" s="2"/>
      <c r="F94" s="4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75" customHeight="1">
      <c r="A95" s="2"/>
      <c r="B95" s="2"/>
      <c r="C95" s="2"/>
      <c r="D95" s="2"/>
      <c r="E95" s="2"/>
      <c r="F95" s="4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75" customHeight="1">
      <c r="A96" s="2"/>
      <c r="B96" s="2"/>
      <c r="C96" s="2"/>
      <c r="D96" s="2"/>
      <c r="E96" s="2"/>
      <c r="F96" s="4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.75" customHeight="1">
      <c r="A97" s="2"/>
      <c r="B97" s="2"/>
      <c r="C97" s="2"/>
      <c r="D97" s="2"/>
      <c r="E97" s="2"/>
      <c r="F97" s="4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.75" customHeight="1">
      <c r="A98" s="2"/>
      <c r="B98" s="2"/>
      <c r="C98" s="2"/>
      <c r="D98" s="2"/>
      <c r="E98" s="2"/>
      <c r="F98" s="4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.75" customHeight="1">
      <c r="A99" s="2"/>
      <c r="B99" s="2"/>
      <c r="C99" s="2"/>
      <c r="D99" s="2"/>
      <c r="E99" s="2"/>
      <c r="F99" s="4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.75" customHeight="1">
      <c r="A100" s="2"/>
      <c r="B100" s="2"/>
      <c r="C100" s="2"/>
      <c r="D100" s="2"/>
      <c r="E100" s="2"/>
      <c r="F100" s="4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75" customHeight="1">
      <c r="A101" s="2"/>
      <c r="B101" s="2"/>
      <c r="C101" s="2"/>
      <c r="D101" s="2"/>
      <c r="E101" s="2"/>
      <c r="F101" s="4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75" customHeight="1">
      <c r="A102" s="2"/>
      <c r="B102" s="2"/>
      <c r="C102" s="2"/>
      <c r="D102" s="2"/>
      <c r="E102" s="2"/>
      <c r="F102" s="4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.75" customHeight="1">
      <c r="A103" s="2"/>
      <c r="B103" s="2"/>
      <c r="C103" s="2"/>
      <c r="D103" s="2"/>
      <c r="E103" s="2"/>
      <c r="F103" s="4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75" customHeight="1">
      <c r="A104" s="2"/>
      <c r="B104" s="2"/>
      <c r="C104" s="2"/>
      <c r="D104" s="2"/>
      <c r="E104" s="2"/>
      <c r="F104" s="4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75" customHeight="1">
      <c r="A105" s="2"/>
      <c r="B105" s="2"/>
      <c r="C105" s="2"/>
      <c r="D105" s="2"/>
      <c r="E105" s="2"/>
      <c r="F105" s="4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.75" customHeight="1">
      <c r="A106" s="2"/>
      <c r="B106" s="2"/>
      <c r="C106" s="2"/>
      <c r="D106" s="2"/>
      <c r="E106" s="2"/>
      <c r="F106" s="4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75" customHeight="1">
      <c r="A107" s="2"/>
      <c r="B107" s="2"/>
      <c r="C107" s="2"/>
      <c r="D107" s="2"/>
      <c r="E107" s="2"/>
      <c r="F107" s="4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.75" customHeight="1">
      <c r="A108" s="2"/>
      <c r="B108" s="2"/>
      <c r="C108" s="2"/>
      <c r="D108" s="2"/>
      <c r="E108" s="2"/>
      <c r="F108" s="4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.75" customHeight="1">
      <c r="A109" s="2"/>
      <c r="B109" s="2"/>
      <c r="C109" s="2"/>
      <c r="D109" s="2"/>
      <c r="E109" s="2"/>
      <c r="F109" s="4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.75" customHeight="1">
      <c r="A110" s="2"/>
      <c r="B110" s="2"/>
      <c r="C110" s="2"/>
      <c r="D110" s="2"/>
      <c r="E110" s="2"/>
      <c r="F110" s="4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.75" customHeight="1">
      <c r="A111" s="2"/>
      <c r="B111" s="2"/>
      <c r="C111" s="2"/>
      <c r="D111" s="2"/>
      <c r="E111" s="2"/>
      <c r="F111" s="4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.75" customHeight="1">
      <c r="A112" s="2"/>
      <c r="B112" s="2"/>
      <c r="C112" s="2"/>
      <c r="D112" s="2"/>
      <c r="E112" s="2"/>
      <c r="F112" s="4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.75" customHeight="1">
      <c r="A113" s="2"/>
      <c r="B113" s="2"/>
      <c r="C113" s="2"/>
      <c r="D113" s="2"/>
      <c r="E113" s="2"/>
      <c r="F113" s="4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.75" customHeight="1">
      <c r="A114" s="2"/>
      <c r="B114" s="2"/>
      <c r="C114" s="2"/>
      <c r="D114" s="2"/>
      <c r="E114" s="2"/>
      <c r="F114" s="4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.75" customHeight="1">
      <c r="A115" s="2"/>
      <c r="B115" s="2"/>
      <c r="C115" s="2"/>
      <c r="D115" s="2"/>
      <c r="E115" s="2"/>
      <c r="F115" s="4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.75" customHeight="1">
      <c r="A116" s="2"/>
      <c r="B116" s="2"/>
      <c r="C116" s="2"/>
      <c r="D116" s="2"/>
      <c r="E116" s="2"/>
      <c r="F116" s="4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>
      <c r="A117" s="2"/>
      <c r="B117" s="2"/>
      <c r="C117" s="2"/>
      <c r="D117" s="2"/>
      <c r="E117" s="2"/>
      <c r="F117" s="4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>
      <c r="A118" s="2"/>
      <c r="B118" s="2"/>
      <c r="C118" s="2"/>
      <c r="D118" s="2"/>
      <c r="E118" s="2"/>
      <c r="F118" s="4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75" customHeight="1">
      <c r="A119" s="2"/>
      <c r="B119" s="2"/>
      <c r="C119" s="2"/>
      <c r="D119" s="2"/>
      <c r="E119" s="2"/>
      <c r="F119" s="4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75" customHeight="1">
      <c r="A120" s="2"/>
      <c r="B120" s="2"/>
      <c r="C120" s="2"/>
      <c r="D120" s="2"/>
      <c r="E120" s="2"/>
      <c r="F120" s="4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75" customHeight="1">
      <c r="A121" s="2"/>
      <c r="B121" s="2"/>
      <c r="C121" s="2"/>
      <c r="D121" s="2"/>
      <c r="E121" s="2"/>
      <c r="F121" s="4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75" customHeight="1">
      <c r="A122" s="2"/>
      <c r="B122" s="2"/>
      <c r="C122" s="2"/>
      <c r="D122" s="2"/>
      <c r="E122" s="2"/>
      <c r="F122" s="4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.75" customHeight="1">
      <c r="A123" s="2"/>
      <c r="B123" s="2"/>
      <c r="C123" s="2"/>
      <c r="D123" s="2"/>
      <c r="E123" s="2"/>
      <c r="F123" s="4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.75" customHeight="1">
      <c r="A124" s="2"/>
      <c r="B124" s="2"/>
      <c r="C124" s="2"/>
      <c r="D124" s="2"/>
      <c r="E124" s="2"/>
      <c r="F124" s="4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.75" customHeight="1">
      <c r="A125" s="2"/>
      <c r="B125" s="2"/>
      <c r="C125" s="2"/>
      <c r="D125" s="2"/>
      <c r="E125" s="2"/>
      <c r="F125" s="4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.75" customHeight="1">
      <c r="A126" s="2"/>
      <c r="B126" s="2"/>
      <c r="C126" s="2"/>
      <c r="D126" s="2"/>
      <c r="E126" s="2"/>
      <c r="F126" s="4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.75" customHeight="1">
      <c r="A127" s="2"/>
      <c r="B127" s="2"/>
      <c r="C127" s="2"/>
      <c r="D127" s="2"/>
      <c r="E127" s="2"/>
      <c r="F127" s="4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75" customHeight="1">
      <c r="A128" s="2"/>
      <c r="B128" s="2"/>
      <c r="C128" s="2"/>
      <c r="D128" s="2"/>
      <c r="E128" s="2"/>
      <c r="F128" s="4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75" customHeight="1">
      <c r="A129" s="2"/>
      <c r="B129" s="2"/>
      <c r="C129" s="2"/>
      <c r="D129" s="2"/>
      <c r="E129" s="2"/>
      <c r="F129" s="4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75" customHeight="1">
      <c r="A130" s="2"/>
      <c r="B130" s="2"/>
      <c r="C130" s="2"/>
      <c r="D130" s="2"/>
      <c r="E130" s="2"/>
      <c r="F130" s="4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75" customHeight="1">
      <c r="A131" s="2"/>
      <c r="B131" s="2"/>
      <c r="C131" s="2"/>
      <c r="D131" s="2"/>
      <c r="E131" s="2"/>
      <c r="F131" s="4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75" customHeight="1">
      <c r="A132" s="2"/>
      <c r="B132" s="2"/>
      <c r="C132" s="2"/>
      <c r="D132" s="2"/>
      <c r="E132" s="2"/>
      <c r="F132" s="4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75" customHeight="1">
      <c r="A133" s="2"/>
      <c r="B133" s="2"/>
      <c r="C133" s="2"/>
      <c r="D133" s="2"/>
      <c r="E133" s="2"/>
      <c r="F133" s="4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75" customHeight="1">
      <c r="A134" s="2"/>
      <c r="B134" s="2"/>
      <c r="C134" s="2"/>
      <c r="D134" s="2"/>
      <c r="E134" s="2"/>
      <c r="F134" s="4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75" customHeight="1">
      <c r="A135" s="2"/>
      <c r="B135" s="2"/>
      <c r="C135" s="2"/>
      <c r="D135" s="2"/>
      <c r="E135" s="2"/>
      <c r="F135" s="4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75" customHeight="1">
      <c r="A136" s="2"/>
      <c r="B136" s="2"/>
      <c r="C136" s="2"/>
      <c r="D136" s="2"/>
      <c r="E136" s="2"/>
      <c r="F136" s="4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75" customHeight="1">
      <c r="A137" s="2"/>
      <c r="B137" s="2"/>
      <c r="C137" s="2"/>
      <c r="D137" s="2"/>
      <c r="E137" s="2"/>
      <c r="F137" s="4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75" customHeight="1">
      <c r="A138" s="2"/>
      <c r="B138" s="2"/>
      <c r="C138" s="2"/>
      <c r="D138" s="2"/>
      <c r="E138" s="2"/>
      <c r="F138" s="4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75" customHeight="1">
      <c r="A139" s="2"/>
      <c r="B139" s="2"/>
      <c r="C139" s="2"/>
      <c r="D139" s="2"/>
      <c r="E139" s="2"/>
      <c r="F139" s="4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75" customHeight="1">
      <c r="A140" s="2"/>
      <c r="B140" s="2"/>
      <c r="C140" s="2"/>
      <c r="D140" s="2"/>
      <c r="E140" s="2"/>
      <c r="F140" s="4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75" customHeight="1">
      <c r="A141" s="2"/>
      <c r="B141" s="2"/>
      <c r="C141" s="2"/>
      <c r="D141" s="2"/>
      <c r="E141" s="2"/>
      <c r="F141" s="4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75" customHeight="1">
      <c r="A142" s="2"/>
      <c r="B142" s="2"/>
      <c r="C142" s="2"/>
      <c r="D142" s="2"/>
      <c r="E142" s="2"/>
      <c r="F142" s="4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75" customHeight="1">
      <c r="A143" s="2"/>
      <c r="B143" s="2"/>
      <c r="C143" s="2"/>
      <c r="D143" s="2"/>
      <c r="E143" s="2"/>
      <c r="F143" s="4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75" customHeight="1">
      <c r="A144" s="2"/>
      <c r="B144" s="2"/>
      <c r="C144" s="2"/>
      <c r="D144" s="2"/>
      <c r="E144" s="2"/>
      <c r="F144" s="4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75" customHeight="1">
      <c r="A145" s="2"/>
      <c r="B145" s="2"/>
      <c r="C145" s="2"/>
      <c r="D145" s="2"/>
      <c r="E145" s="2"/>
      <c r="F145" s="4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75" customHeight="1">
      <c r="A146" s="2"/>
      <c r="B146" s="2"/>
      <c r="C146" s="2"/>
      <c r="D146" s="2"/>
      <c r="E146" s="2"/>
      <c r="F146" s="4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75" customHeight="1">
      <c r="A147" s="2"/>
      <c r="B147" s="2"/>
      <c r="C147" s="2"/>
      <c r="D147" s="2"/>
      <c r="E147" s="2"/>
      <c r="F147" s="4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75" customHeight="1">
      <c r="A148" s="2"/>
      <c r="B148" s="2"/>
      <c r="C148" s="2"/>
      <c r="D148" s="2"/>
      <c r="E148" s="2"/>
      <c r="F148" s="4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.75" customHeight="1">
      <c r="A149" s="2"/>
      <c r="B149" s="2"/>
      <c r="C149" s="2"/>
      <c r="D149" s="2"/>
      <c r="E149" s="2"/>
      <c r="F149" s="4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75" customHeight="1">
      <c r="A150" s="2"/>
      <c r="B150" s="2"/>
      <c r="C150" s="2"/>
      <c r="D150" s="2"/>
      <c r="E150" s="2"/>
      <c r="F150" s="4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75" customHeight="1">
      <c r="A151" s="2"/>
      <c r="B151" s="2"/>
      <c r="C151" s="2"/>
      <c r="D151" s="2"/>
      <c r="E151" s="2"/>
      <c r="F151" s="4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75" customHeight="1">
      <c r="A152" s="2"/>
      <c r="B152" s="2"/>
      <c r="C152" s="2"/>
      <c r="D152" s="2"/>
      <c r="E152" s="2"/>
      <c r="F152" s="4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75" customHeight="1">
      <c r="A153" s="2"/>
      <c r="B153" s="2"/>
      <c r="C153" s="2"/>
      <c r="D153" s="2"/>
      <c r="E153" s="2"/>
      <c r="F153" s="4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.75" customHeight="1">
      <c r="A154" s="2"/>
      <c r="B154" s="2"/>
      <c r="C154" s="2"/>
      <c r="D154" s="2"/>
      <c r="E154" s="2"/>
      <c r="F154" s="4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75" customHeight="1">
      <c r="A155" s="2"/>
      <c r="B155" s="2"/>
      <c r="C155" s="2"/>
      <c r="D155" s="2"/>
      <c r="E155" s="2"/>
      <c r="F155" s="4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75" customHeight="1">
      <c r="A156" s="2"/>
      <c r="B156" s="2"/>
      <c r="C156" s="2"/>
      <c r="D156" s="2"/>
      <c r="E156" s="2"/>
      <c r="F156" s="4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75" customHeight="1">
      <c r="A157" s="2"/>
      <c r="B157" s="2"/>
      <c r="C157" s="2"/>
      <c r="D157" s="2"/>
      <c r="E157" s="2"/>
      <c r="F157" s="4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75" customHeight="1">
      <c r="A158" s="2"/>
      <c r="B158" s="2"/>
      <c r="C158" s="2"/>
      <c r="D158" s="2"/>
      <c r="E158" s="2"/>
      <c r="F158" s="4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75" customHeight="1">
      <c r="A159" s="2"/>
      <c r="B159" s="2"/>
      <c r="C159" s="2"/>
      <c r="D159" s="2"/>
      <c r="E159" s="2"/>
      <c r="F159" s="4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75" customHeight="1">
      <c r="A160" s="2"/>
      <c r="B160" s="2"/>
      <c r="C160" s="2"/>
      <c r="D160" s="2"/>
      <c r="E160" s="2"/>
      <c r="F160" s="4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75" customHeight="1">
      <c r="A161" s="2"/>
      <c r="B161" s="2"/>
      <c r="C161" s="2"/>
      <c r="D161" s="2"/>
      <c r="E161" s="2"/>
      <c r="F161" s="4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>
      <c r="A162" s="2"/>
      <c r="B162" s="2"/>
      <c r="C162" s="2"/>
      <c r="D162" s="2"/>
      <c r="E162" s="2"/>
      <c r="F162" s="4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75" customHeight="1">
      <c r="A163" s="2"/>
      <c r="B163" s="2"/>
      <c r="C163" s="2"/>
      <c r="D163" s="2"/>
      <c r="E163" s="2"/>
      <c r="F163" s="4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75" customHeight="1">
      <c r="A164" s="2"/>
      <c r="B164" s="2"/>
      <c r="C164" s="2"/>
      <c r="D164" s="2"/>
      <c r="E164" s="2"/>
      <c r="F164" s="4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75" customHeight="1">
      <c r="A165" s="2"/>
      <c r="B165" s="2"/>
      <c r="C165" s="2"/>
      <c r="D165" s="2"/>
      <c r="E165" s="2"/>
      <c r="F165" s="4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75" customHeight="1">
      <c r="A166" s="2"/>
      <c r="B166" s="2"/>
      <c r="C166" s="2"/>
      <c r="D166" s="2"/>
      <c r="E166" s="2"/>
      <c r="F166" s="4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75" customHeight="1">
      <c r="A167" s="2"/>
      <c r="B167" s="2"/>
      <c r="C167" s="2"/>
      <c r="D167" s="2"/>
      <c r="E167" s="2"/>
      <c r="F167" s="4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75" customHeight="1">
      <c r="A168" s="2"/>
      <c r="B168" s="2"/>
      <c r="C168" s="2"/>
      <c r="D168" s="2"/>
      <c r="E168" s="2"/>
      <c r="F168" s="4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75" customHeight="1">
      <c r="A169" s="2"/>
      <c r="B169" s="2"/>
      <c r="C169" s="2"/>
      <c r="D169" s="2"/>
      <c r="E169" s="2"/>
      <c r="F169" s="4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75" customHeight="1">
      <c r="A170" s="2"/>
      <c r="B170" s="2"/>
      <c r="C170" s="2"/>
      <c r="D170" s="2"/>
      <c r="E170" s="2"/>
      <c r="F170" s="4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75" customHeight="1">
      <c r="A171" s="2"/>
      <c r="B171" s="2"/>
      <c r="C171" s="2"/>
      <c r="D171" s="2"/>
      <c r="E171" s="2"/>
      <c r="F171" s="4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75" customHeight="1">
      <c r="A172" s="2"/>
      <c r="B172" s="2"/>
      <c r="C172" s="2"/>
      <c r="D172" s="2"/>
      <c r="E172" s="2"/>
      <c r="F172" s="4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75" customHeight="1">
      <c r="A173" s="2"/>
      <c r="B173" s="2"/>
      <c r="C173" s="2"/>
      <c r="D173" s="2"/>
      <c r="E173" s="2"/>
      <c r="F173" s="4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75" customHeight="1">
      <c r="A174" s="2"/>
      <c r="B174" s="2"/>
      <c r="C174" s="2"/>
      <c r="D174" s="2"/>
      <c r="E174" s="2"/>
      <c r="F174" s="44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75" customHeight="1">
      <c r="A175" s="2"/>
      <c r="B175" s="2"/>
      <c r="C175" s="2"/>
      <c r="D175" s="2"/>
      <c r="E175" s="2"/>
      <c r="F175" s="4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75" customHeight="1">
      <c r="A176" s="2"/>
      <c r="B176" s="2"/>
      <c r="C176" s="2"/>
      <c r="D176" s="2"/>
      <c r="E176" s="2"/>
      <c r="F176" s="44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75" customHeight="1">
      <c r="A177" s="2"/>
      <c r="B177" s="2"/>
      <c r="C177" s="2"/>
      <c r="D177" s="2"/>
      <c r="E177" s="2"/>
      <c r="F177" s="4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75" customHeight="1">
      <c r="A178" s="2"/>
      <c r="B178" s="2"/>
      <c r="C178" s="2"/>
      <c r="D178" s="2"/>
      <c r="E178" s="2"/>
      <c r="F178" s="44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75" customHeight="1">
      <c r="A179" s="2"/>
      <c r="B179" s="2"/>
      <c r="C179" s="2"/>
      <c r="D179" s="2"/>
      <c r="E179" s="2"/>
      <c r="F179" s="4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75" customHeight="1">
      <c r="A180" s="2"/>
      <c r="B180" s="2"/>
      <c r="C180" s="2"/>
      <c r="D180" s="2"/>
      <c r="E180" s="2"/>
      <c r="F180" s="4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75" customHeight="1">
      <c r="A181" s="2"/>
      <c r="B181" s="2"/>
      <c r="C181" s="2"/>
      <c r="D181" s="2"/>
      <c r="E181" s="2"/>
      <c r="F181" s="4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75" customHeight="1">
      <c r="A182" s="2"/>
      <c r="B182" s="2"/>
      <c r="C182" s="2"/>
      <c r="D182" s="2"/>
      <c r="E182" s="2"/>
      <c r="F182" s="4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75" customHeight="1">
      <c r="A183" s="2"/>
      <c r="B183" s="2"/>
      <c r="C183" s="2"/>
      <c r="D183" s="2"/>
      <c r="E183" s="2"/>
      <c r="F183" s="4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75" customHeight="1">
      <c r="A184" s="2"/>
      <c r="B184" s="2"/>
      <c r="C184" s="2"/>
      <c r="D184" s="2"/>
      <c r="E184" s="2"/>
      <c r="F184" s="44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75" customHeight="1">
      <c r="A185" s="2"/>
      <c r="B185" s="2"/>
      <c r="C185" s="2"/>
      <c r="D185" s="2"/>
      <c r="E185" s="2"/>
      <c r="F185" s="4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75" customHeight="1">
      <c r="A186" s="2"/>
      <c r="B186" s="2"/>
      <c r="C186" s="2"/>
      <c r="D186" s="2"/>
      <c r="E186" s="2"/>
      <c r="F186" s="44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75" customHeight="1">
      <c r="A187" s="2"/>
      <c r="B187" s="2"/>
      <c r="C187" s="2"/>
      <c r="D187" s="2"/>
      <c r="E187" s="2"/>
      <c r="F187" s="4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75" customHeight="1">
      <c r="A188" s="2"/>
      <c r="B188" s="2"/>
      <c r="C188" s="2"/>
      <c r="D188" s="2"/>
      <c r="E188" s="2"/>
      <c r="F188" s="44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75" customHeight="1">
      <c r="A189" s="2"/>
      <c r="B189" s="2"/>
      <c r="C189" s="2"/>
      <c r="D189" s="2"/>
      <c r="E189" s="2"/>
      <c r="F189" s="4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75" customHeight="1">
      <c r="A190" s="2"/>
      <c r="B190" s="2"/>
      <c r="C190" s="2"/>
      <c r="D190" s="2"/>
      <c r="E190" s="2"/>
      <c r="F190" s="44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75" customHeight="1">
      <c r="A191" s="2"/>
      <c r="B191" s="2"/>
      <c r="C191" s="2"/>
      <c r="D191" s="2"/>
      <c r="E191" s="2"/>
      <c r="F191" s="4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75" customHeight="1">
      <c r="A192" s="2"/>
      <c r="B192" s="2"/>
      <c r="C192" s="2"/>
      <c r="D192" s="2"/>
      <c r="E192" s="2"/>
      <c r="F192" s="44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75" customHeight="1">
      <c r="A193" s="2"/>
      <c r="B193" s="2"/>
      <c r="C193" s="2"/>
      <c r="D193" s="2"/>
      <c r="E193" s="2"/>
      <c r="F193" s="4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75" customHeight="1">
      <c r="A194" s="2"/>
      <c r="B194" s="2"/>
      <c r="C194" s="2"/>
      <c r="D194" s="2"/>
      <c r="E194" s="2"/>
      <c r="F194" s="44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75" customHeight="1">
      <c r="A195" s="2"/>
      <c r="B195" s="2"/>
      <c r="C195" s="2"/>
      <c r="D195" s="2"/>
      <c r="E195" s="2"/>
      <c r="F195" s="4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75" customHeight="1">
      <c r="A196" s="2"/>
      <c r="B196" s="2"/>
      <c r="C196" s="2"/>
      <c r="D196" s="2"/>
      <c r="E196" s="2"/>
      <c r="F196" s="44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75" customHeight="1">
      <c r="A197" s="2"/>
      <c r="B197" s="2"/>
      <c r="C197" s="2"/>
      <c r="D197" s="2"/>
      <c r="E197" s="2"/>
      <c r="F197" s="4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75" customHeight="1">
      <c r="A198" s="2"/>
      <c r="B198" s="2"/>
      <c r="C198" s="2"/>
      <c r="D198" s="2"/>
      <c r="E198" s="2"/>
      <c r="F198" s="44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75" customHeight="1">
      <c r="A199" s="2"/>
      <c r="B199" s="2"/>
      <c r="C199" s="2"/>
      <c r="D199" s="2"/>
      <c r="E199" s="2"/>
      <c r="F199" s="4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75" customHeight="1">
      <c r="A200" s="2"/>
      <c r="B200" s="2"/>
      <c r="C200" s="2"/>
      <c r="D200" s="2"/>
      <c r="E200" s="2"/>
      <c r="F200" s="44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75" customHeight="1">
      <c r="A201" s="2"/>
      <c r="B201" s="2"/>
      <c r="C201" s="2"/>
      <c r="D201" s="2"/>
      <c r="E201" s="2"/>
      <c r="F201" s="4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75" customHeight="1">
      <c r="A202" s="2"/>
      <c r="B202" s="2"/>
      <c r="C202" s="2"/>
      <c r="D202" s="2"/>
      <c r="E202" s="2"/>
      <c r="F202" s="44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75" customHeight="1">
      <c r="A203" s="2"/>
      <c r="B203" s="2"/>
      <c r="C203" s="2"/>
      <c r="D203" s="2"/>
      <c r="E203" s="2"/>
      <c r="F203" s="4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75" customHeight="1">
      <c r="A204" s="2"/>
      <c r="B204" s="2"/>
      <c r="C204" s="2"/>
      <c r="D204" s="2"/>
      <c r="E204" s="2"/>
      <c r="F204" s="44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.75" customHeight="1">
      <c r="A205" s="2"/>
      <c r="B205" s="2"/>
      <c r="C205" s="2"/>
      <c r="D205" s="2"/>
      <c r="E205" s="2"/>
      <c r="F205" s="44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.75" customHeight="1">
      <c r="A206" s="2"/>
      <c r="B206" s="2"/>
      <c r="C206" s="2"/>
      <c r="D206" s="2"/>
      <c r="E206" s="2"/>
      <c r="F206" s="44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.75" customHeight="1">
      <c r="A207" s="2"/>
      <c r="B207" s="2"/>
      <c r="C207" s="2"/>
      <c r="D207" s="2"/>
      <c r="E207" s="2"/>
      <c r="F207" s="44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.75" customHeight="1">
      <c r="A208" s="2"/>
      <c r="B208" s="2"/>
      <c r="C208" s="2"/>
      <c r="D208" s="2"/>
      <c r="E208" s="2"/>
      <c r="F208" s="44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.75" customHeight="1">
      <c r="A209" s="2"/>
      <c r="B209" s="2"/>
      <c r="C209" s="2"/>
      <c r="D209" s="2"/>
      <c r="E209" s="2"/>
      <c r="F209" s="44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.75" customHeight="1">
      <c r="A210" s="2"/>
      <c r="B210" s="2"/>
      <c r="C210" s="2"/>
      <c r="D210" s="2"/>
      <c r="E210" s="2"/>
      <c r="F210" s="44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.75" customHeight="1">
      <c r="A211" s="2"/>
      <c r="B211" s="2"/>
      <c r="C211" s="2"/>
      <c r="D211" s="2"/>
      <c r="E211" s="2"/>
      <c r="F211" s="44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.75" customHeight="1">
      <c r="A212" s="2"/>
      <c r="B212" s="2"/>
      <c r="C212" s="2"/>
      <c r="D212" s="2"/>
      <c r="E212" s="2"/>
      <c r="F212" s="44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.75" customHeight="1">
      <c r="A213" s="2"/>
      <c r="B213" s="2"/>
      <c r="C213" s="2"/>
      <c r="D213" s="2"/>
      <c r="E213" s="2"/>
      <c r="F213" s="44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.75" customHeight="1">
      <c r="A214" s="2"/>
      <c r="B214" s="2"/>
      <c r="C214" s="2"/>
      <c r="D214" s="2"/>
      <c r="E214" s="2"/>
      <c r="F214" s="44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.75" customHeight="1">
      <c r="A215" s="2"/>
      <c r="B215" s="2"/>
      <c r="C215" s="2"/>
      <c r="D215" s="2"/>
      <c r="E215" s="2"/>
      <c r="F215" s="44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.75" customHeight="1">
      <c r="A216" s="2"/>
      <c r="B216" s="2"/>
      <c r="C216" s="2"/>
      <c r="D216" s="2"/>
      <c r="E216" s="2"/>
      <c r="F216" s="44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.75" customHeight="1">
      <c r="A217" s="2"/>
      <c r="B217" s="2"/>
      <c r="C217" s="2"/>
      <c r="D217" s="2"/>
      <c r="E217" s="2"/>
      <c r="F217" s="44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.75" customHeight="1">
      <c r="A218" s="2"/>
      <c r="B218" s="2"/>
      <c r="C218" s="2"/>
      <c r="D218" s="2"/>
      <c r="E218" s="2"/>
      <c r="F218" s="44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.75" customHeight="1">
      <c r="A219" s="2"/>
      <c r="B219" s="2"/>
      <c r="C219" s="2"/>
      <c r="D219" s="2"/>
      <c r="E219" s="2"/>
      <c r="F219" s="44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.75" customHeight="1">
      <c r="A220" s="2"/>
      <c r="B220" s="2"/>
      <c r="C220" s="2"/>
      <c r="D220" s="2"/>
      <c r="E220" s="2"/>
      <c r="F220" s="44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.75" customHeight="1">
      <c r="A221" s="2"/>
      <c r="B221" s="2"/>
      <c r="C221" s="2"/>
      <c r="D221" s="2"/>
      <c r="E221" s="2"/>
      <c r="F221" s="44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.75" customHeight="1">
      <c r="A222" s="2"/>
      <c r="B222" s="2"/>
      <c r="C222" s="2"/>
      <c r="D222" s="2"/>
      <c r="E222" s="2"/>
      <c r="F222" s="44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.75" customHeight="1">
      <c r="A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.75" customHeight="1">
      <c r="A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.75" customHeight="1">
      <c r="A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.75" customHeight="1">
      <c r="A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.75" customHeight="1">
      <c r="A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.75" customHeight="1">
      <c r="A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.75" customHeight="1">
      <c r="A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.75" customHeight="1">
      <c r="A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.75" customHeight="1">
      <c r="A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.75" customHeight="1">
      <c r="A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.75" customHeight="1">
      <c r="A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.75" customHeight="1">
      <c r="A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.75" customHeight="1">
      <c r="A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.75" customHeight="1">
      <c r="A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.75" customHeight="1">
      <c r="A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.75" customHeight="1">
      <c r="A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.75" customHeight="1">
      <c r="A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.75" customHeight="1">
      <c r="A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.75" customHeight="1">
      <c r="A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.75" customHeight="1">
      <c r="A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.75" customHeight="1">
      <c r="A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.75" customHeight="1">
      <c r="A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.75" customHeight="1">
      <c r="A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.75" customHeight="1">
      <c r="A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.75" customHeight="1">
      <c r="A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.75" customHeight="1">
      <c r="A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.75" customHeight="1">
      <c r="A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.75" customHeight="1">
      <c r="A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.75" customHeight="1">
      <c r="A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.75" customHeight="1">
      <c r="A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.75" customHeight="1">
      <c r="A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.75" customHeight="1">
      <c r="A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.75" customHeight="1">
      <c r="A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.75" customHeight="1">
      <c r="A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>
      <c r="A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>
      <c r="A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>
      <c r="A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>
      <c r="A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>
      <c r="A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>
      <c r="A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.75" customHeight="1">
      <c r="A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.75" customHeight="1">
      <c r="A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>
      <c r="A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.75" customHeight="1">
      <c r="A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>
      <c r="A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>
      <c r="A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>
      <c r="A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>
      <c r="A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>
      <c r="A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>
      <c r="A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>
      <c r="A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>
      <c r="A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>
      <c r="A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>
      <c r="A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>
      <c r="A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>
      <c r="A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>
      <c r="A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>
      <c r="A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>
      <c r="A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>
      <c r="A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>
      <c r="A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>
      <c r="A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>
      <c r="A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>
      <c r="A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>
      <c r="A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>
      <c r="A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>
      <c r="A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>
      <c r="A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>
      <c r="A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>
      <c r="A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>
      <c r="A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>
      <c r="A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>
      <c r="A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>
      <c r="A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>
      <c r="A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>
      <c r="A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>
      <c r="A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>
      <c r="A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>
      <c r="A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>
      <c r="A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>
      <c r="A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>
      <c r="A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>
      <c r="A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>
      <c r="A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>
      <c r="A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>
      <c r="A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>
      <c r="A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>
      <c r="A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>
      <c r="A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>
      <c r="A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>
      <c r="A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>
      <c r="A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>
      <c r="A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>
      <c r="A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>
      <c r="A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>
      <c r="A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>
      <c r="A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>
      <c r="A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>
      <c r="A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>
      <c r="A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>
      <c r="A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>
      <c r="A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>
      <c r="A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>
      <c r="A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>
      <c r="A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>
      <c r="A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>
      <c r="A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>
      <c r="A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>
      <c r="A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>
      <c r="A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>
      <c r="A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>
      <c r="A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>
      <c r="A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>
      <c r="A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>
      <c r="A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>
      <c r="A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>
      <c r="A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>
      <c r="A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>
      <c r="A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>
      <c r="A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>
      <c r="A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>
      <c r="A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>
      <c r="A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>
      <c r="A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>
      <c r="A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>
      <c r="A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>
      <c r="A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>
      <c r="A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>
      <c r="A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>
      <c r="A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>
      <c r="A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>
      <c r="A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>
      <c r="A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>
      <c r="A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>
      <c r="A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>
      <c r="A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>
      <c r="A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>
      <c r="A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>
      <c r="A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>
      <c r="A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>
      <c r="A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>
      <c r="A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>
      <c r="A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>
      <c r="A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>
      <c r="A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>
      <c r="A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>
      <c r="A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>
      <c r="A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>
      <c r="A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>
      <c r="A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>
      <c r="A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>
      <c r="A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>
      <c r="A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>
      <c r="A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>
      <c r="A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>
      <c r="A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>
      <c r="A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>
      <c r="A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>
      <c r="A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>
      <c r="A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>
      <c r="A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>
      <c r="A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>
      <c r="A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>
      <c r="A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>
      <c r="A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>
      <c r="A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>
      <c r="A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>
      <c r="A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>
      <c r="A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>
      <c r="A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>
      <c r="A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>
      <c r="A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>
      <c r="A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>
      <c r="A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>
      <c r="A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>
      <c r="A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>
      <c r="A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>
      <c r="A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>
      <c r="A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>
      <c r="A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>
      <c r="A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>
      <c r="A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>
      <c r="A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>
      <c r="A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>
      <c r="A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>
      <c r="A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>
      <c r="A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>
      <c r="A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>
      <c r="A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>
      <c r="A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>
      <c r="A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>
      <c r="A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>
      <c r="A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>
      <c r="A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>
      <c r="A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>
      <c r="A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>
      <c r="A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>
      <c r="A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>
      <c r="A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>
      <c r="A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>
      <c r="A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>
      <c r="A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>
      <c r="A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>
      <c r="A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>
      <c r="A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>
      <c r="A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>
      <c r="A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>
      <c r="A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>
      <c r="A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>
      <c r="A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>
      <c r="A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>
      <c r="A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>
      <c r="A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>
      <c r="A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>
      <c r="A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>
      <c r="A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>
      <c r="A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>
      <c r="A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>
      <c r="A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>
      <c r="A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>
      <c r="A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>
      <c r="A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>
      <c r="A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>
      <c r="A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>
      <c r="A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>
      <c r="A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>
      <c r="A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>
      <c r="A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>
      <c r="A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>
      <c r="A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>
      <c r="A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>
      <c r="A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>
      <c r="A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>
      <c r="A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>
      <c r="A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>
      <c r="A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>
      <c r="A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>
      <c r="A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>
      <c r="A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>
      <c r="A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>
      <c r="A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>
      <c r="A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>
      <c r="A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>
      <c r="A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>
      <c r="A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>
      <c r="A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>
      <c r="A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>
      <c r="A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>
      <c r="A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>
      <c r="A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>
      <c r="A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>
      <c r="A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>
      <c r="A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>
      <c r="A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>
      <c r="A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>
      <c r="A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>
      <c r="A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>
      <c r="A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>
      <c r="A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>
      <c r="A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>
      <c r="A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>
      <c r="A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>
      <c r="A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>
      <c r="A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>
      <c r="A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>
      <c r="A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>
      <c r="A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>
      <c r="A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>
      <c r="A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>
      <c r="A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>
      <c r="A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>
      <c r="A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>
      <c r="A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>
      <c r="A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>
      <c r="A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>
      <c r="A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>
      <c r="A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>
      <c r="A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>
      <c r="A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>
      <c r="A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>
      <c r="A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>
      <c r="A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>
      <c r="A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>
      <c r="A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>
      <c r="A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>
      <c r="A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>
      <c r="A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>
      <c r="A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>
      <c r="A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>
      <c r="A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>
      <c r="A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>
      <c r="A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>
      <c r="A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>
      <c r="A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>
      <c r="A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>
      <c r="A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>
      <c r="A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>
      <c r="A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>
      <c r="A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>
      <c r="A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>
      <c r="A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>
      <c r="A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>
      <c r="A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>
      <c r="A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>
      <c r="A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>
      <c r="A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>
      <c r="A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>
      <c r="A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>
      <c r="A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>
      <c r="A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>
      <c r="A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>
      <c r="A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>
      <c r="A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>
      <c r="A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>
      <c r="A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>
      <c r="A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>
      <c r="A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>
      <c r="A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>
      <c r="A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>
      <c r="A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>
      <c r="A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>
      <c r="A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>
      <c r="A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>
      <c r="A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>
      <c r="A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>
      <c r="A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>
      <c r="A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>
      <c r="A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>
      <c r="A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>
      <c r="A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>
      <c r="A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>
      <c r="A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>
      <c r="A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>
      <c r="A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>
      <c r="A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>
      <c r="A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>
      <c r="A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>
      <c r="A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>
      <c r="A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>
      <c r="A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>
      <c r="A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>
      <c r="A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>
      <c r="A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>
      <c r="A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>
      <c r="A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>
      <c r="A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>
      <c r="A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>
      <c r="A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>
      <c r="A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>
      <c r="A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>
      <c r="A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>
      <c r="A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>
      <c r="A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>
      <c r="A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>
      <c r="A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>
      <c r="A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>
      <c r="A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>
      <c r="A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>
      <c r="A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>
      <c r="A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>
      <c r="A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>
      <c r="A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>
      <c r="A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>
      <c r="A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>
      <c r="A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>
      <c r="A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>
      <c r="A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>
      <c r="A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>
      <c r="A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>
      <c r="A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>
      <c r="A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>
      <c r="A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>
      <c r="A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>
      <c r="A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>
      <c r="A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>
      <c r="A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>
      <c r="A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>
      <c r="A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>
      <c r="A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>
      <c r="A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>
      <c r="A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>
      <c r="A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>
      <c r="A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>
      <c r="A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>
      <c r="A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>
      <c r="A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>
      <c r="A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>
      <c r="A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>
      <c r="A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>
      <c r="A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>
      <c r="A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>
      <c r="A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>
      <c r="A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>
      <c r="A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>
      <c r="A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>
      <c r="A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>
      <c r="A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>
      <c r="A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>
      <c r="A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>
      <c r="A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>
      <c r="A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>
      <c r="A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>
      <c r="A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>
      <c r="A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>
      <c r="A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>
      <c r="A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>
      <c r="A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>
      <c r="A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>
      <c r="A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>
      <c r="A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>
      <c r="A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>
      <c r="A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>
      <c r="A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>
      <c r="A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>
      <c r="A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>
      <c r="A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>
      <c r="A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>
      <c r="A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>
      <c r="A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>
      <c r="A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>
      <c r="A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>
      <c r="A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>
      <c r="A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>
      <c r="A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>
      <c r="A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>
      <c r="A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>
      <c r="A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>
      <c r="A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>
      <c r="A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>
      <c r="A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>
      <c r="A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>
      <c r="A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>
      <c r="A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>
      <c r="A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>
      <c r="A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>
      <c r="A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>
      <c r="A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>
      <c r="A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>
      <c r="A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>
      <c r="A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>
      <c r="A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>
      <c r="A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>
      <c r="A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>
      <c r="A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>
      <c r="A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>
      <c r="A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>
      <c r="A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>
      <c r="A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>
      <c r="A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>
      <c r="A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>
      <c r="A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>
      <c r="A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>
      <c r="A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>
      <c r="A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>
      <c r="A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>
      <c r="A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>
      <c r="A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>
      <c r="A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>
      <c r="A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>
      <c r="A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>
      <c r="A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>
      <c r="A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>
      <c r="A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>
      <c r="A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>
      <c r="A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>
      <c r="A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>
      <c r="A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>
      <c r="A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>
      <c r="A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>
      <c r="A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>
      <c r="A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>
      <c r="A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>
      <c r="A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>
      <c r="A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>
      <c r="A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>
      <c r="A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>
      <c r="A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>
      <c r="A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>
      <c r="A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>
      <c r="A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>
      <c r="A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>
      <c r="A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>
      <c r="A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>
      <c r="A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>
      <c r="A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>
      <c r="A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>
      <c r="A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>
      <c r="A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>
      <c r="A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>
      <c r="A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>
      <c r="A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>
      <c r="A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>
      <c r="A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>
      <c r="A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>
      <c r="A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>
      <c r="A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>
      <c r="A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>
      <c r="A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>
      <c r="A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>
      <c r="A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>
      <c r="A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>
      <c r="A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>
      <c r="A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>
      <c r="A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>
      <c r="A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>
      <c r="A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>
      <c r="A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>
      <c r="A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>
      <c r="A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>
      <c r="A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>
      <c r="A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>
      <c r="A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>
      <c r="A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>
      <c r="A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>
      <c r="A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>
      <c r="A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>
      <c r="A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>
      <c r="A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>
      <c r="A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>
      <c r="A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>
      <c r="A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>
      <c r="A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>
      <c r="A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>
      <c r="A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>
      <c r="A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>
      <c r="A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>
      <c r="A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>
      <c r="A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>
      <c r="A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>
      <c r="A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>
      <c r="A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>
      <c r="A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>
      <c r="A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>
      <c r="A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>
      <c r="A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>
      <c r="A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>
      <c r="A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>
      <c r="A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>
      <c r="A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>
      <c r="A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>
      <c r="A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>
      <c r="A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>
      <c r="A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>
      <c r="A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>
      <c r="A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>
      <c r="A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>
      <c r="A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>
      <c r="A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>
      <c r="A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>
      <c r="A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>
      <c r="A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>
      <c r="A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>
      <c r="A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>
      <c r="A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>
      <c r="A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>
      <c r="A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>
      <c r="A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>
      <c r="A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>
      <c r="A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>
      <c r="A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>
      <c r="A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>
      <c r="A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>
      <c r="A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>
      <c r="A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>
      <c r="A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>
      <c r="A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>
      <c r="A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>
      <c r="A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>
      <c r="A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>
      <c r="A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>
      <c r="A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>
      <c r="A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>
      <c r="A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>
      <c r="A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>
      <c r="A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>
      <c r="A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>
      <c r="A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>
      <c r="A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>
      <c r="A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>
      <c r="A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>
      <c r="A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>
      <c r="A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>
      <c r="A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>
      <c r="A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>
      <c r="A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>
      <c r="A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>
      <c r="A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>
      <c r="A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>
      <c r="A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>
      <c r="A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>
      <c r="A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>
      <c r="A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>
      <c r="A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>
      <c r="A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>
      <c r="A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>
      <c r="A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>
      <c r="A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>
      <c r="A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>
      <c r="A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>
      <c r="A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>
      <c r="A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>
      <c r="A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>
      <c r="A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>
      <c r="A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>
      <c r="A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>
      <c r="A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>
      <c r="A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>
      <c r="A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>
      <c r="A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>
      <c r="A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>
      <c r="A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>
      <c r="A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>
      <c r="A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>
      <c r="A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>
      <c r="A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>
      <c r="A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.75" customHeight="1">
      <c r="A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.75" customHeight="1">
      <c r="A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.75" customHeight="1">
      <c r="A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.75" customHeight="1">
      <c r="A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.75" customHeight="1">
      <c r="A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.75" customHeight="1">
      <c r="A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.75" customHeight="1">
      <c r="A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.75" customHeight="1">
      <c r="A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.75" customHeight="1">
      <c r="A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.75" customHeight="1">
      <c r="A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.75" customHeight="1">
      <c r="A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.75" customHeight="1">
      <c r="A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.75" customHeight="1">
      <c r="A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.75" customHeight="1">
      <c r="A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.75" customHeight="1">
      <c r="A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.75" customHeight="1">
      <c r="A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.75" customHeight="1">
      <c r="A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.75" customHeight="1">
      <c r="A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.75" customHeight="1">
      <c r="A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.75" customHeight="1">
      <c r="A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.75" customHeight="1">
      <c r="A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.75" customHeight="1">
      <c r="A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.75" customHeight="1">
      <c r="A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.75" customHeight="1">
      <c r="A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.75" customHeight="1">
      <c r="A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.75" customHeight="1">
      <c r="A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.75" customHeight="1">
      <c r="A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.75" customHeight="1">
      <c r="A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.75" customHeight="1">
      <c r="A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.75" customHeight="1">
      <c r="A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.75" customHeight="1">
      <c r="A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.75" customHeight="1">
      <c r="A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.75" customHeight="1">
      <c r="A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.75" customHeight="1">
      <c r="A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.75" customHeight="1">
      <c r="A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.75" customHeight="1">
      <c r="A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.75" customHeight="1">
      <c r="A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.75" customHeight="1">
      <c r="A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.75" customHeight="1">
      <c r="A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.75" customHeight="1">
      <c r="A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.75" customHeight="1">
      <c r="A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.75" customHeight="1">
      <c r="A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.75" customHeight="1">
      <c r="A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.75" customHeight="1">
      <c r="A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.75" customHeight="1">
      <c r="A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.75" customHeight="1">
      <c r="A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.75" customHeight="1">
      <c r="A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.75" customHeight="1">
      <c r="A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.75" customHeight="1">
      <c r="A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58">
    <mergeCell ref="B66:C66"/>
    <mergeCell ref="B67:C67"/>
    <mergeCell ref="B59:C59"/>
    <mergeCell ref="B60:C60"/>
    <mergeCell ref="B61:C61"/>
    <mergeCell ref="B62:C62"/>
    <mergeCell ref="B63:C63"/>
    <mergeCell ref="B64:C64"/>
    <mergeCell ref="B65:C65"/>
    <mergeCell ref="C1:V5"/>
    <mergeCell ref="B12:D13"/>
    <mergeCell ref="E13:K13"/>
    <mergeCell ref="B14:C14"/>
    <mergeCell ref="B15:C15"/>
    <mergeCell ref="B16:C16"/>
    <mergeCell ref="B17:C17"/>
    <mergeCell ref="B18:C18"/>
    <mergeCell ref="B19:C19"/>
    <mergeCell ref="B20:D20"/>
    <mergeCell ref="E20:K20"/>
    <mergeCell ref="B21:D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D32"/>
    <mergeCell ref="B33:C33"/>
    <mergeCell ref="B34:C34"/>
    <mergeCell ref="B35:C35"/>
    <mergeCell ref="B36:C36"/>
    <mergeCell ref="B37:D37"/>
    <mergeCell ref="B38:C38"/>
    <mergeCell ref="B39:C39"/>
    <mergeCell ref="B40:C40"/>
    <mergeCell ref="B41:C41"/>
    <mergeCell ref="B42:C42"/>
    <mergeCell ref="B43:C43"/>
    <mergeCell ref="B44:D44"/>
    <mergeCell ref="B45:C45"/>
    <mergeCell ref="B46:C46"/>
    <mergeCell ref="B47:C47"/>
    <mergeCell ref="B48:C48"/>
    <mergeCell ref="B49:C49"/>
    <mergeCell ref="B55:C55"/>
    <mergeCell ref="B56:C56"/>
    <mergeCell ref="B57:D57"/>
    <mergeCell ref="B58:C58"/>
    <mergeCell ref="B50:D50"/>
    <mergeCell ref="B51:C51"/>
    <mergeCell ref="B52:C52"/>
    <mergeCell ref="B53:C53"/>
    <mergeCell ref="B54:C54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51"/>
  <sheetViews>
    <sheetView topLeftCell="A4" workbookViewId="0">
      <selection activeCell="C10" sqref="C10:C11"/>
    </sheetView>
  </sheetViews>
  <sheetFormatPr baseColWidth="10" defaultColWidth="12.58203125" defaultRowHeight="15" customHeight="1"/>
  <cols>
    <col min="1" max="1" width="9.58203125" customWidth="1"/>
    <col min="2" max="2" width="15.4140625" customWidth="1"/>
    <col min="3" max="3" width="13.58203125" customWidth="1"/>
    <col min="4" max="4" width="19.08203125" customWidth="1"/>
    <col min="5" max="5" width="4" customWidth="1"/>
    <col min="6" max="11" width="16" customWidth="1"/>
    <col min="12" max="12" width="13.58203125" customWidth="1"/>
    <col min="13" max="13" width="12.4140625" customWidth="1"/>
    <col min="15" max="15" width="13.58203125" customWidth="1"/>
    <col min="16" max="16" width="2.58203125" customWidth="1"/>
    <col min="17" max="17" width="12.08203125" customWidth="1"/>
    <col min="18" max="18" width="12.5" customWidth="1"/>
    <col min="19" max="19" width="13.58203125" customWidth="1"/>
    <col min="20" max="21" width="12.08203125" customWidth="1"/>
    <col min="22" max="22" width="13" customWidth="1"/>
    <col min="23" max="23" width="10" customWidth="1"/>
    <col min="24" max="24" width="3.4140625" customWidth="1"/>
    <col min="25" max="26" width="13" customWidth="1"/>
    <col min="27" max="27" width="10" customWidth="1"/>
    <col min="28" max="28" width="12.08203125" customWidth="1"/>
    <col min="29" max="30" width="10" customWidth="1"/>
    <col min="31" max="31" width="12.08203125" customWidth="1"/>
  </cols>
  <sheetData>
    <row r="1" spans="1:31" ht="15" customHeight="1">
      <c r="A1" s="1"/>
      <c r="B1" s="1"/>
      <c r="C1" s="214"/>
      <c r="D1" s="177"/>
      <c r="E1" s="177"/>
      <c r="F1" s="215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8"/>
      <c r="W1" s="2"/>
      <c r="X1" s="2"/>
      <c r="Y1" s="2"/>
      <c r="Z1" s="2"/>
      <c r="AA1" s="2"/>
      <c r="AB1" s="2"/>
      <c r="AC1" s="2"/>
      <c r="AD1" s="2"/>
      <c r="AE1" s="2"/>
    </row>
    <row r="2" spans="1:31" ht="15" customHeight="1">
      <c r="A2" s="1"/>
      <c r="B2" s="1"/>
      <c r="C2" s="179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80"/>
      <c r="W2" s="2"/>
      <c r="X2" s="2"/>
      <c r="Y2" s="2"/>
      <c r="Z2" s="2"/>
      <c r="AA2" s="2"/>
      <c r="AB2" s="2"/>
      <c r="AC2" s="2"/>
      <c r="AD2" s="2"/>
      <c r="AE2" s="2"/>
    </row>
    <row r="3" spans="1:31" ht="15" customHeight="1">
      <c r="A3" s="1"/>
      <c r="B3" s="1"/>
      <c r="C3" s="179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80"/>
      <c r="W3" s="2"/>
      <c r="X3" s="2"/>
      <c r="Y3" s="2"/>
      <c r="Z3" s="2"/>
      <c r="AA3" s="2"/>
      <c r="AB3" s="2"/>
      <c r="AC3" s="2"/>
      <c r="AD3" s="2"/>
      <c r="AE3" s="2"/>
    </row>
    <row r="4" spans="1:31" ht="15" customHeight="1">
      <c r="A4" s="1"/>
      <c r="B4" s="1"/>
      <c r="C4" s="179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80"/>
      <c r="W4" s="2"/>
      <c r="X4" s="2"/>
      <c r="Y4" s="2"/>
      <c r="Z4" s="2"/>
      <c r="AA4" s="2"/>
      <c r="AB4" s="2"/>
      <c r="AC4" s="2"/>
      <c r="AD4" s="2"/>
      <c r="AE4" s="2"/>
    </row>
    <row r="5" spans="1:31" ht="63.75" customHeight="1">
      <c r="A5" s="1"/>
      <c r="B5" s="1"/>
      <c r="C5" s="181"/>
      <c r="D5" s="170"/>
      <c r="E5" s="170"/>
      <c r="F5" s="215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8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>
      <c r="A6" s="2"/>
      <c r="B6" s="2"/>
      <c r="C6" s="3"/>
      <c r="D6" s="3"/>
      <c r="E6" s="3"/>
      <c r="F6" s="14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.75" customHeight="1">
      <c r="A7" s="2"/>
      <c r="B7" s="2"/>
      <c r="C7" s="2"/>
      <c r="D7" s="2"/>
      <c r="E7" s="2"/>
      <c r="F7" s="4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.75" customHeight="1">
      <c r="A8" s="44"/>
      <c r="B8" s="216" t="s">
        <v>95</v>
      </c>
      <c r="C8" s="190"/>
      <c r="D8" s="217"/>
      <c r="E8" s="44"/>
      <c r="F8" s="224" t="s">
        <v>96</v>
      </c>
      <c r="G8" s="224"/>
      <c r="H8" s="22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31" ht="15.75" customHeight="1">
      <c r="A9" s="44"/>
      <c r="B9" s="218"/>
      <c r="C9" s="209"/>
      <c r="D9" s="219"/>
      <c r="E9" s="44"/>
      <c r="F9" s="224"/>
      <c r="G9" s="224"/>
      <c r="H9" s="22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0" spans="1:31" ht="15.75" customHeight="1">
      <c r="A10" s="44"/>
      <c r="B10" s="44" t="s">
        <v>6</v>
      </c>
      <c r="C10" s="153"/>
      <c r="D10" s="44"/>
      <c r="E10" s="44"/>
      <c r="F10" s="44" t="s">
        <v>6</v>
      </c>
      <c r="G10" s="153">
        <f>+'Flujo de Caja'!E19</f>
        <v>2716.6666666666665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spans="1:31" ht="15.75" customHeight="1">
      <c r="A11" s="44"/>
      <c r="B11" s="44" t="s">
        <v>7</v>
      </c>
      <c r="C11" s="153"/>
      <c r="D11" s="44"/>
      <c r="E11" s="44"/>
      <c r="F11" s="44" t="s">
        <v>7</v>
      </c>
      <c r="G11" s="153">
        <f>+'Flujo de Caja'!E67</f>
        <v>1696.6666666666667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 spans="1:31" ht="15.75" customHeight="1">
      <c r="A12" s="44"/>
      <c r="B12" s="44" t="s">
        <v>97</v>
      </c>
      <c r="C12" s="154">
        <f>+C10-C11</f>
        <v>0</v>
      </c>
      <c r="D12" s="44"/>
      <c r="E12" s="44"/>
      <c r="F12" s="44" t="s">
        <v>97</v>
      </c>
      <c r="G12" s="154">
        <f>+G10-G11</f>
        <v>1019.9999999999998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 spans="1:31" ht="15.75" customHeight="1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 spans="1:31" ht="15.75" customHeight="1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spans="1:31" ht="15.75" customHeight="1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spans="1:31" ht="15.75" customHeight="1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spans="1:31" ht="15.75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 spans="1:31" ht="15.75" customHeight="1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 spans="1:31" ht="15.75" customHeight="1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 spans="1:31" ht="15.75" customHeight="1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spans="1:3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 spans="1:31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 spans="1:31" ht="15.75" customHeight="1">
      <c r="A23" s="2"/>
      <c r="B23" s="2"/>
      <c r="C23" s="2"/>
      <c r="D23" s="2"/>
      <c r="E23" s="2"/>
      <c r="F23" s="4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.75" customHeight="1">
      <c r="A24" s="2"/>
      <c r="B24" s="2"/>
      <c r="C24" s="2"/>
      <c r="D24" s="2"/>
      <c r="E24" s="2"/>
      <c r="F24" s="4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.75" customHeight="1">
      <c r="A25" s="2"/>
      <c r="B25" s="2"/>
      <c r="C25" s="2"/>
      <c r="D25" s="2"/>
      <c r="E25" s="2"/>
      <c r="F25" s="4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.75" customHeight="1">
      <c r="A26" s="2"/>
      <c r="B26" s="2"/>
      <c r="C26" s="2"/>
      <c r="D26" s="2"/>
      <c r="E26" s="2"/>
      <c r="F26" s="4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.75" customHeight="1">
      <c r="A27" s="2"/>
      <c r="B27" s="2"/>
      <c r="C27" s="2"/>
      <c r="D27" s="2"/>
      <c r="E27" s="2"/>
      <c r="F27" s="4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.75" customHeight="1">
      <c r="A28" s="2"/>
      <c r="B28" s="2"/>
      <c r="C28" s="2"/>
      <c r="D28" s="2"/>
      <c r="E28" s="2"/>
      <c r="F28" s="4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.75" customHeight="1">
      <c r="A29" s="2"/>
      <c r="B29" s="2"/>
      <c r="C29" s="2"/>
      <c r="D29" s="2"/>
      <c r="E29" s="2"/>
      <c r="F29" s="4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.75" customHeight="1">
      <c r="A30" s="2"/>
      <c r="B30" s="2"/>
      <c r="C30" s="2"/>
      <c r="D30" s="2"/>
      <c r="E30" s="2"/>
      <c r="F30" s="4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.75" customHeight="1">
      <c r="A31" s="2"/>
      <c r="B31" s="2"/>
      <c r="C31" s="2"/>
      <c r="D31" s="2"/>
      <c r="E31" s="2"/>
      <c r="F31" s="4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.75" customHeight="1">
      <c r="A32" s="2"/>
      <c r="B32" s="2"/>
      <c r="C32" s="2"/>
      <c r="D32" s="2"/>
      <c r="E32" s="2"/>
      <c r="F32" s="4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.75" customHeight="1">
      <c r="A33" s="2"/>
      <c r="B33" s="2"/>
      <c r="C33" s="2"/>
      <c r="D33" s="2"/>
      <c r="E33" s="2"/>
      <c r="F33" s="4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.75" customHeight="1">
      <c r="A34" s="2"/>
      <c r="B34" s="2"/>
      <c r="C34" s="2"/>
      <c r="D34" s="2"/>
      <c r="E34" s="2"/>
      <c r="F34" s="4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.75" customHeight="1">
      <c r="A35" s="2"/>
      <c r="B35" s="2"/>
      <c r="C35" s="2"/>
      <c r="D35" s="2"/>
      <c r="E35" s="2"/>
      <c r="F35" s="4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.75" customHeight="1">
      <c r="A36" s="2"/>
      <c r="B36" s="2"/>
      <c r="C36" s="2"/>
      <c r="D36" s="2"/>
      <c r="E36" s="2"/>
      <c r="F36" s="4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.75" customHeight="1">
      <c r="A37" s="2"/>
      <c r="B37" s="2"/>
      <c r="C37" s="2"/>
      <c r="D37" s="2"/>
      <c r="E37" s="2"/>
      <c r="F37" s="4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.75" customHeight="1">
      <c r="A38" s="2"/>
      <c r="B38" s="2"/>
      <c r="C38" s="2"/>
      <c r="D38" s="2"/>
      <c r="E38" s="2"/>
      <c r="F38" s="4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.75" customHeight="1">
      <c r="A39" s="2"/>
      <c r="B39" s="2"/>
      <c r="C39" s="2"/>
      <c r="D39" s="2"/>
      <c r="E39" s="2"/>
      <c r="F39" s="4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.75" customHeight="1">
      <c r="A40" s="2"/>
      <c r="B40" s="2"/>
      <c r="C40" s="2"/>
      <c r="D40" s="2"/>
      <c r="E40" s="2"/>
      <c r="F40" s="4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.75" customHeight="1">
      <c r="A41" s="2"/>
      <c r="B41" s="2"/>
      <c r="C41" s="2"/>
      <c r="D41" s="2"/>
      <c r="E41" s="2"/>
      <c r="F41" s="4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.75" customHeight="1">
      <c r="A42" s="2"/>
      <c r="B42" s="2"/>
      <c r="C42" s="2"/>
      <c r="D42" s="2"/>
      <c r="E42" s="2"/>
      <c r="F42" s="4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.75" customHeight="1">
      <c r="A43" s="2"/>
      <c r="B43" s="2"/>
      <c r="C43" s="2"/>
      <c r="D43" s="2"/>
      <c r="E43" s="2"/>
      <c r="F43" s="4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.75" customHeight="1">
      <c r="A44" s="2"/>
      <c r="B44" s="2"/>
      <c r="C44" s="2"/>
      <c r="D44" s="2"/>
      <c r="E44" s="2"/>
      <c r="F44" s="4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.75" customHeight="1">
      <c r="A45" s="2"/>
      <c r="B45" s="2"/>
      <c r="C45" s="2"/>
      <c r="D45" s="2"/>
      <c r="E45" s="2"/>
      <c r="F45" s="4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.75" customHeight="1">
      <c r="A46" s="2"/>
      <c r="B46" s="2"/>
      <c r="C46" s="2"/>
      <c r="D46" s="2"/>
      <c r="E46" s="2"/>
      <c r="F46" s="4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.75" customHeight="1">
      <c r="A47" s="2"/>
      <c r="B47" s="2"/>
      <c r="C47" s="2"/>
      <c r="D47" s="2"/>
      <c r="E47" s="2"/>
      <c r="F47" s="4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.75" customHeight="1">
      <c r="A48" s="2"/>
      <c r="B48" s="2"/>
      <c r="C48" s="2"/>
      <c r="D48" s="2"/>
      <c r="E48" s="2"/>
      <c r="F48" s="4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.75" customHeight="1">
      <c r="A49" s="2"/>
      <c r="B49" s="2"/>
      <c r="C49" s="2"/>
      <c r="D49" s="2"/>
      <c r="E49" s="2"/>
      <c r="F49" s="4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.75" customHeight="1">
      <c r="A50" s="2"/>
      <c r="B50" s="2"/>
      <c r="C50" s="2"/>
      <c r="D50" s="2"/>
      <c r="E50" s="2"/>
      <c r="F50" s="4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.75" customHeight="1">
      <c r="A51" s="2"/>
      <c r="B51" s="2"/>
      <c r="C51" s="2"/>
      <c r="D51" s="2"/>
      <c r="E51" s="2"/>
      <c r="F51" s="4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.75" customHeight="1">
      <c r="A52" s="2"/>
      <c r="B52" s="2"/>
      <c r="C52" s="2"/>
      <c r="D52" s="2"/>
      <c r="E52" s="2"/>
      <c r="F52" s="4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.75" customHeight="1">
      <c r="A53" s="2"/>
      <c r="B53" s="2"/>
      <c r="C53" s="2"/>
      <c r="D53" s="2"/>
      <c r="E53" s="2"/>
      <c r="F53" s="4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.75" customHeight="1">
      <c r="A54" s="2"/>
      <c r="B54" s="2"/>
      <c r="C54" s="2"/>
      <c r="D54" s="2"/>
      <c r="E54" s="2"/>
      <c r="F54" s="4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.75" customHeight="1">
      <c r="A55" s="2"/>
      <c r="B55" s="2"/>
      <c r="C55" s="2"/>
      <c r="D55" s="2"/>
      <c r="E55" s="2"/>
      <c r="F55" s="4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.75" customHeight="1">
      <c r="A56" s="2"/>
      <c r="B56" s="2"/>
      <c r="C56" s="2"/>
      <c r="D56" s="2"/>
      <c r="E56" s="2"/>
      <c r="F56" s="4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.75" customHeight="1">
      <c r="A57" s="2"/>
      <c r="B57" s="2"/>
      <c r="C57" s="2"/>
      <c r="D57" s="2"/>
      <c r="E57" s="2"/>
      <c r="F57" s="4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.75" customHeight="1">
      <c r="A58" s="2"/>
      <c r="B58" s="2"/>
      <c r="C58" s="2"/>
      <c r="D58" s="2"/>
      <c r="E58" s="2"/>
      <c r="F58" s="4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.75" customHeight="1">
      <c r="A59" s="2"/>
      <c r="B59" s="2"/>
      <c r="C59" s="2"/>
      <c r="D59" s="2"/>
      <c r="E59" s="2"/>
      <c r="F59" s="4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.75" customHeight="1">
      <c r="A60" s="2"/>
      <c r="B60" s="2"/>
      <c r="C60" s="2"/>
      <c r="D60" s="2"/>
      <c r="E60" s="2"/>
      <c r="F60" s="4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.75" customHeight="1">
      <c r="A61" s="2"/>
      <c r="B61" s="2"/>
      <c r="C61" s="2"/>
      <c r="D61" s="2"/>
      <c r="E61" s="2"/>
      <c r="F61" s="4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.75" customHeight="1">
      <c r="A62" s="2"/>
      <c r="B62" s="2"/>
      <c r="C62" s="2"/>
      <c r="D62" s="2"/>
      <c r="E62" s="2"/>
      <c r="F62" s="4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.75" customHeight="1">
      <c r="A63" s="2"/>
      <c r="B63" s="2"/>
      <c r="C63" s="2"/>
      <c r="D63" s="2"/>
      <c r="E63" s="2"/>
      <c r="F63" s="4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.75" customHeight="1">
      <c r="A64" s="2"/>
      <c r="B64" s="2"/>
      <c r="C64" s="2"/>
      <c r="D64" s="2"/>
      <c r="E64" s="2"/>
      <c r="F64" s="4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.75" customHeight="1">
      <c r="A65" s="2"/>
      <c r="B65" s="2"/>
      <c r="C65" s="2"/>
      <c r="D65" s="2"/>
      <c r="E65" s="2"/>
      <c r="F65" s="4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.75" customHeight="1">
      <c r="A66" s="2"/>
      <c r="B66" s="2"/>
      <c r="C66" s="2"/>
      <c r="D66" s="2"/>
      <c r="E66" s="2"/>
      <c r="F66" s="4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.75" customHeight="1">
      <c r="A67" s="2"/>
      <c r="B67" s="2"/>
      <c r="C67" s="2"/>
      <c r="D67" s="2"/>
      <c r="E67" s="2"/>
      <c r="F67" s="4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.75" customHeight="1">
      <c r="A68" s="2"/>
      <c r="B68" s="2"/>
      <c r="C68" s="2"/>
      <c r="D68" s="2"/>
      <c r="E68" s="2"/>
      <c r="F68" s="4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.75" customHeight="1">
      <c r="A69" s="2"/>
      <c r="B69" s="2"/>
      <c r="C69" s="2"/>
      <c r="D69" s="2"/>
      <c r="E69" s="2"/>
      <c r="F69" s="4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.75" customHeight="1">
      <c r="A70" s="2"/>
      <c r="B70" s="2"/>
      <c r="C70" s="2"/>
      <c r="D70" s="2"/>
      <c r="E70" s="2"/>
      <c r="F70" s="4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.75" customHeight="1">
      <c r="A71" s="2"/>
      <c r="B71" s="2"/>
      <c r="C71" s="2"/>
      <c r="D71" s="2"/>
      <c r="E71" s="2"/>
      <c r="F71" s="4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.75" customHeight="1">
      <c r="A72" s="2"/>
      <c r="B72" s="2"/>
      <c r="C72" s="2"/>
      <c r="D72" s="2"/>
      <c r="E72" s="2"/>
      <c r="F72" s="4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.75" customHeight="1">
      <c r="A73" s="2"/>
      <c r="B73" s="2"/>
      <c r="C73" s="2"/>
      <c r="D73" s="2"/>
      <c r="E73" s="2"/>
      <c r="F73" s="4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.75" customHeight="1">
      <c r="A74" s="2"/>
      <c r="B74" s="2"/>
      <c r="C74" s="2"/>
      <c r="D74" s="2"/>
      <c r="E74" s="2"/>
      <c r="F74" s="4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.75" customHeight="1">
      <c r="A75" s="2"/>
      <c r="B75" s="2"/>
      <c r="C75" s="2"/>
      <c r="D75" s="2"/>
      <c r="E75" s="2"/>
      <c r="F75" s="4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.75" customHeight="1">
      <c r="A76" s="2"/>
      <c r="B76" s="2"/>
      <c r="C76" s="2"/>
      <c r="D76" s="2"/>
      <c r="E76" s="2"/>
      <c r="F76" s="44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.75" customHeight="1">
      <c r="A77" s="2"/>
      <c r="B77" s="2"/>
      <c r="C77" s="2"/>
      <c r="D77" s="2"/>
      <c r="E77" s="2"/>
      <c r="F77" s="4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.75" customHeight="1">
      <c r="A78" s="2"/>
      <c r="B78" s="2"/>
      <c r="C78" s="2"/>
      <c r="D78" s="2"/>
      <c r="E78" s="2"/>
      <c r="F78" s="44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.75" customHeight="1">
      <c r="A79" s="2"/>
      <c r="B79" s="2"/>
      <c r="C79" s="2"/>
      <c r="D79" s="2"/>
      <c r="E79" s="2"/>
      <c r="F79" s="4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.75" customHeight="1">
      <c r="A80" s="2"/>
      <c r="B80" s="2"/>
      <c r="C80" s="2"/>
      <c r="D80" s="2"/>
      <c r="E80" s="2"/>
      <c r="F80" s="44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.75" customHeight="1">
      <c r="A81" s="2"/>
      <c r="B81" s="2"/>
      <c r="C81" s="2"/>
      <c r="D81" s="2"/>
      <c r="E81" s="2"/>
      <c r="F81" s="4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.75" customHeight="1">
      <c r="A82" s="2"/>
      <c r="B82" s="2"/>
      <c r="C82" s="2"/>
      <c r="D82" s="2"/>
      <c r="E82" s="2"/>
      <c r="F82" s="44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.75" customHeight="1">
      <c r="A83" s="2"/>
      <c r="B83" s="2"/>
      <c r="C83" s="2"/>
      <c r="D83" s="2"/>
      <c r="E83" s="2"/>
      <c r="F83" s="4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.75" customHeight="1">
      <c r="A84" s="2"/>
      <c r="B84" s="2"/>
      <c r="C84" s="2"/>
      <c r="D84" s="2"/>
      <c r="E84" s="2"/>
      <c r="F84" s="44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.75" customHeight="1">
      <c r="A85" s="2"/>
      <c r="B85" s="2"/>
      <c r="C85" s="2"/>
      <c r="D85" s="2"/>
      <c r="E85" s="2"/>
      <c r="F85" s="4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.75" customHeight="1">
      <c r="A86" s="2"/>
      <c r="B86" s="2"/>
      <c r="C86" s="2"/>
      <c r="D86" s="2"/>
      <c r="E86" s="2"/>
      <c r="F86" s="44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.75" customHeight="1">
      <c r="A87" s="2"/>
      <c r="B87" s="2"/>
      <c r="C87" s="2"/>
      <c r="D87" s="2"/>
      <c r="E87" s="2"/>
      <c r="F87" s="4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.75" customHeight="1">
      <c r="A88" s="2"/>
      <c r="B88" s="2"/>
      <c r="C88" s="2"/>
      <c r="D88" s="2"/>
      <c r="E88" s="2"/>
      <c r="F88" s="44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.75" customHeight="1">
      <c r="A89" s="2"/>
      <c r="B89" s="2"/>
      <c r="C89" s="2"/>
      <c r="D89" s="2"/>
      <c r="E89" s="2"/>
      <c r="F89" s="4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.75" customHeight="1">
      <c r="A90" s="2"/>
      <c r="B90" s="2"/>
      <c r="C90" s="2"/>
      <c r="D90" s="2"/>
      <c r="E90" s="2"/>
      <c r="F90" s="44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.75" customHeight="1">
      <c r="A91" s="2"/>
      <c r="B91" s="2"/>
      <c r="C91" s="2"/>
      <c r="D91" s="2"/>
      <c r="E91" s="2"/>
      <c r="F91" s="4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.75" customHeight="1">
      <c r="A92" s="2"/>
      <c r="B92" s="2"/>
      <c r="C92" s="2"/>
      <c r="D92" s="2"/>
      <c r="E92" s="2"/>
      <c r="F92" s="44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.75" customHeight="1">
      <c r="A93" s="2"/>
      <c r="B93" s="2"/>
      <c r="C93" s="2"/>
      <c r="D93" s="2"/>
      <c r="E93" s="2"/>
      <c r="F93" s="4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.75" customHeight="1">
      <c r="A94" s="2"/>
      <c r="B94" s="2"/>
      <c r="C94" s="2"/>
      <c r="D94" s="2"/>
      <c r="E94" s="2"/>
      <c r="F94" s="44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.75" customHeight="1">
      <c r="A95" s="2"/>
      <c r="B95" s="2"/>
      <c r="C95" s="2"/>
      <c r="D95" s="2"/>
      <c r="E95" s="2"/>
      <c r="F95" s="4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.75" customHeight="1">
      <c r="A96" s="2"/>
      <c r="B96" s="2"/>
      <c r="C96" s="2"/>
      <c r="D96" s="2"/>
      <c r="E96" s="2"/>
      <c r="F96" s="44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.75" customHeight="1">
      <c r="A97" s="2"/>
      <c r="B97" s="2"/>
      <c r="C97" s="2"/>
      <c r="D97" s="2"/>
      <c r="E97" s="2"/>
      <c r="F97" s="4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.75" customHeight="1">
      <c r="A98" s="2"/>
      <c r="B98" s="2"/>
      <c r="C98" s="2"/>
      <c r="D98" s="2"/>
      <c r="E98" s="2"/>
      <c r="F98" s="44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.75" customHeight="1">
      <c r="A99" s="2"/>
      <c r="B99" s="2"/>
      <c r="C99" s="2"/>
      <c r="D99" s="2"/>
      <c r="E99" s="2"/>
      <c r="F99" s="4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.75" customHeight="1">
      <c r="A100" s="2"/>
      <c r="B100" s="2"/>
      <c r="C100" s="2"/>
      <c r="D100" s="2"/>
      <c r="E100" s="2"/>
      <c r="F100" s="44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.75" customHeight="1">
      <c r="A101" s="2"/>
      <c r="B101" s="2"/>
      <c r="C101" s="2"/>
      <c r="D101" s="2"/>
      <c r="E101" s="2"/>
      <c r="F101" s="4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.75" customHeight="1">
      <c r="A102" s="2"/>
      <c r="B102" s="2"/>
      <c r="C102" s="2"/>
      <c r="D102" s="2"/>
      <c r="E102" s="2"/>
      <c r="F102" s="44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.75" customHeight="1">
      <c r="A103" s="2"/>
      <c r="B103" s="2"/>
      <c r="C103" s="2"/>
      <c r="D103" s="2"/>
      <c r="E103" s="2"/>
      <c r="F103" s="4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.75" customHeight="1">
      <c r="A104" s="2"/>
      <c r="B104" s="2"/>
      <c r="C104" s="2"/>
      <c r="D104" s="2"/>
      <c r="E104" s="2"/>
      <c r="F104" s="44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.75" customHeight="1">
      <c r="A105" s="2"/>
      <c r="B105" s="2"/>
      <c r="C105" s="2"/>
      <c r="D105" s="2"/>
      <c r="E105" s="2"/>
      <c r="F105" s="4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.75" customHeight="1">
      <c r="A106" s="2"/>
      <c r="B106" s="2"/>
      <c r="C106" s="2"/>
      <c r="D106" s="2"/>
      <c r="E106" s="2"/>
      <c r="F106" s="44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.75" customHeight="1">
      <c r="A107" s="2"/>
      <c r="B107" s="2"/>
      <c r="C107" s="2"/>
      <c r="D107" s="2"/>
      <c r="E107" s="2"/>
      <c r="F107" s="4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.75" customHeight="1">
      <c r="A108" s="2"/>
      <c r="B108" s="2"/>
      <c r="C108" s="2"/>
      <c r="D108" s="2"/>
      <c r="E108" s="2"/>
      <c r="F108" s="44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.75" customHeight="1">
      <c r="A109" s="2"/>
      <c r="B109" s="2"/>
      <c r="C109" s="2"/>
      <c r="D109" s="2"/>
      <c r="E109" s="2"/>
      <c r="F109" s="4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.75" customHeight="1">
      <c r="A110" s="2"/>
      <c r="B110" s="2"/>
      <c r="C110" s="2"/>
      <c r="D110" s="2"/>
      <c r="E110" s="2"/>
      <c r="F110" s="44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.75" customHeight="1">
      <c r="A111" s="2"/>
      <c r="B111" s="2"/>
      <c r="C111" s="2"/>
      <c r="D111" s="2"/>
      <c r="E111" s="2"/>
      <c r="F111" s="44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.75" customHeight="1">
      <c r="A112" s="2"/>
      <c r="B112" s="2"/>
      <c r="C112" s="2"/>
      <c r="D112" s="2"/>
      <c r="E112" s="2"/>
      <c r="F112" s="44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.75" customHeight="1">
      <c r="A113" s="2"/>
      <c r="B113" s="2"/>
      <c r="C113" s="2"/>
      <c r="D113" s="2"/>
      <c r="E113" s="2"/>
      <c r="F113" s="4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.75" customHeight="1">
      <c r="A114" s="2"/>
      <c r="B114" s="2"/>
      <c r="C114" s="2"/>
      <c r="D114" s="2"/>
      <c r="E114" s="2"/>
      <c r="F114" s="44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.75" customHeight="1">
      <c r="A115" s="2"/>
      <c r="B115" s="2"/>
      <c r="C115" s="2"/>
      <c r="D115" s="2"/>
      <c r="E115" s="2"/>
      <c r="F115" s="4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.75" customHeight="1">
      <c r="A116" s="2"/>
      <c r="B116" s="2"/>
      <c r="C116" s="2"/>
      <c r="D116" s="2"/>
      <c r="E116" s="2"/>
      <c r="F116" s="44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.75" customHeight="1">
      <c r="A117" s="2"/>
      <c r="B117" s="2"/>
      <c r="C117" s="2"/>
      <c r="D117" s="2"/>
      <c r="E117" s="2"/>
      <c r="F117" s="4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.75" customHeight="1">
      <c r="A118" s="2"/>
      <c r="B118" s="2"/>
      <c r="C118" s="2"/>
      <c r="D118" s="2"/>
      <c r="E118" s="2"/>
      <c r="F118" s="44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.75" customHeight="1">
      <c r="A119" s="2"/>
      <c r="B119" s="2"/>
      <c r="C119" s="2"/>
      <c r="D119" s="2"/>
      <c r="E119" s="2"/>
      <c r="F119" s="4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.75" customHeight="1">
      <c r="A120" s="2"/>
      <c r="B120" s="2"/>
      <c r="C120" s="2"/>
      <c r="D120" s="2"/>
      <c r="E120" s="2"/>
      <c r="F120" s="4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.75" customHeight="1">
      <c r="A121" s="2"/>
      <c r="B121" s="2"/>
      <c r="C121" s="2"/>
      <c r="D121" s="2"/>
      <c r="E121" s="2"/>
      <c r="F121" s="4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.75" customHeight="1">
      <c r="A122" s="2"/>
      <c r="B122" s="2"/>
      <c r="C122" s="2"/>
      <c r="D122" s="2"/>
      <c r="E122" s="2"/>
      <c r="F122" s="4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.75" customHeight="1">
      <c r="A123" s="2"/>
      <c r="B123" s="2"/>
      <c r="C123" s="2"/>
      <c r="D123" s="2"/>
      <c r="E123" s="2"/>
      <c r="F123" s="4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.75" customHeight="1">
      <c r="A124" s="2"/>
      <c r="B124" s="2"/>
      <c r="C124" s="2"/>
      <c r="D124" s="2"/>
      <c r="E124" s="2"/>
      <c r="F124" s="4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.75" customHeight="1">
      <c r="A125" s="2"/>
      <c r="B125" s="2"/>
      <c r="C125" s="2"/>
      <c r="D125" s="2"/>
      <c r="E125" s="2"/>
      <c r="F125" s="4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.75" customHeight="1">
      <c r="A126" s="2"/>
      <c r="B126" s="2"/>
      <c r="C126" s="2"/>
      <c r="D126" s="2"/>
      <c r="E126" s="2"/>
      <c r="F126" s="4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.75" customHeight="1">
      <c r="A127" s="2"/>
      <c r="B127" s="2"/>
      <c r="C127" s="2"/>
      <c r="D127" s="2"/>
      <c r="E127" s="2"/>
      <c r="F127" s="4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.75" customHeight="1">
      <c r="A128" s="2"/>
      <c r="B128" s="2"/>
      <c r="C128" s="2"/>
      <c r="D128" s="2"/>
      <c r="E128" s="2"/>
      <c r="F128" s="4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.75" customHeight="1">
      <c r="A129" s="2"/>
      <c r="B129" s="2"/>
      <c r="C129" s="2"/>
      <c r="D129" s="2"/>
      <c r="E129" s="2"/>
      <c r="F129" s="4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.75" customHeight="1">
      <c r="A130" s="2"/>
      <c r="B130" s="2"/>
      <c r="C130" s="2"/>
      <c r="D130" s="2"/>
      <c r="E130" s="2"/>
      <c r="F130" s="4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.75" customHeight="1">
      <c r="A131" s="2"/>
      <c r="B131" s="2"/>
      <c r="C131" s="2"/>
      <c r="D131" s="2"/>
      <c r="E131" s="2"/>
      <c r="F131" s="4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.75" customHeight="1">
      <c r="A132" s="2"/>
      <c r="B132" s="2"/>
      <c r="C132" s="2"/>
      <c r="D132" s="2"/>
      <c r="E132" s="2"/>
      <c r="F132" s="4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.75" customHeight="1">
      <c r="A133" s="2"/>
      <c r="B133" s="2"/>
      <c r="C133" s="2"/>
      <c r="D133" s="2"/>
      <c r="E133" s="2"/>
      <c r="F133" s="4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.75" customHeight="1">
      <c r="A134" s="2"/>
      <c r="B134" s="2"/>
      <c r="C134" s="2"/>
      <c r="D134" s="2"/>
      <c r="E134" s="2"/>
      <c r="F134" s="44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.75" customHeight="1">
      <c r="A135" s="2"/>
      <c r="B135" s="2"/>
      <c r="C135" s="2"/>
      <c r="D135" s="2"/>
      <c r="E135" s="2"/>
      <c r="F135" s="4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.75" customHeight="1">
      <c r="A136" s="2"/>
      <c r="B136" s="2"/>
      <c r="C136" s="2"/>
      <c r="D136" s="2"/>
      <c r="E136" s="2"/>
      <c r="F136" s="44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.75" customHeight="1">
      <c r="A137" s="2"/>
      <c r="B137" s="2"/>
      <c r="C137" s="2"/>
      <c r="D137" s="2"/>
      <c r="E137" s="2"/>
      <c r="F137" s="4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.75" customHeight="1">
      <c r="A138" s="2"/>
      <c r="B138" s="2"/>
      <c r="C138" s="2"/>
      <c r="D138" s="2"/>
      <c r="E138" s="2"/>
      <c r="F138" s="44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.75" customHeight="1">
      <c r="A139" s="2"/>
      <c r="B139" s="2"/>
      <c r="C139" s="2"/>
      <c r="D139" s="2"/>
      <c r="E139" s="2"/>
      <c r="F139" s="4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.75" customHeight="1">
      <c r="A140" s="2"/>
      <c r="B140" s="2"/>
      <c r="C140" s="2"/>
      <c r="D140" s="2"/>
      <c r="E140" s="2"/>
      <c r="F140" s="44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.75" customHeight="1">
      <c r="A141" s="2"/>
      <c r="B141" s="2"/>
      <c r="C141" s="2"/>
      <c r="D141" s="2"/>
      <c r="E141" s="2"/>
      <c r="F141" s="4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.75" customHeight="1">
      <c r="A142" s="2"/>
      <c r="B142" s="2"/>
      <c r="C142" s="2"/>
      <c r="D142" s="2"/>
      <c r="E142" s="2"/>
      <c r="F142" s="44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.75" customHeight="1">
      <c r="A143" s="2"/>
      <c r="B143" s="2"/>
      <c r="C143" s="2"/>
      <c r="D143" s="2"/>
      <c r="E143" s="2"/>
      <c r="F143" s="4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.75" customHeight="1">
      <c r="A144" s="2"/>
      <c r="B144" s="2"/>
      <c r="C144" s="2"/>
      <c r="D144" s="2"/>
      <c r="E144" s="2"/>
      <c r="F144" s="44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.75" customHeight="1">
      <c r="A145" s="2"/>
      <c r="B145" s="2"/>
      <c r="C145" s="2"/>
      <c r="D145" s="2"/>
      <c r="E145" s="2"/>
      <c r="F145" s="4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.75" customHeight="1">
      <c r="A146" s="2"/>
      <c r="B146" s="2"/>
      <c r="C146" s="2"/>
      <c r="D146" s="2"/>
      <c r="E146" s="2"/>
      <c r="F146" s="44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.75" customHeight="1">
      <c r="A147" s="2"/>
      <c r="B147" s="2"/>
      <c r="C147" s="2"/>
      <c r="D147" s="2"/>
      <c r="E147" s="2"/>
      <c r="F147" s="4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.75" customHeight="1">
      <c r="A148" s="2"/>
      <c r="B148" s="2"/>
      <c r="C148" s="2"/>
      <c r="D148" s="2"/>
      <c r="E148" s="2"/>
      <c r="F148" s="44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.75" customHeight="1">
      <c r="A149" s="2"/>
      <c r="B149" s="2"/>
      <c r="C149" s="2"/>
      <c r="D149" s="2"/>
      <c r="E149" s="2"/>
      <c r="F149" s="4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.75" customHeight="1">
      <c r="A150" s="2"/>
      <c r="B150" s="2"/>
      <c r="C150" s="2"/>
      <c r="D150" s="2"/>
      <c r="E150" s="2"/>
      <c r="F150" s="4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.75" customHeight="1">
      <c r="A151" s="2"/>
      <c r="B151" s="2"/>
      <c r="C151" s="2"/>
      <c r="D151" s="2"/>
      <c r="E151" s="2"/>
      <c r="F151" s="4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.75" customHeight="1">
      <c r="A152" s="2"/>
      <c r="B152" s="2"/>
      <c r="C152" s="2"/>
      <c r="D152" s="2"/>
      <c r="E152" s="2"/>
      <c r="F152" s="44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.75" customHeight="1">
      <c r="A153" s="2"/>
      <c r="B153" s="2"/>
      <c r="C153" s="2"/>
      <c r="D153" s="2"/>
      <c r="E153" s="2"/>
      <c r="F153" s="4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.75" customHeight="1">
      <c r="A154" s="2"/>
      <c r="B154" s="2"/>
      <c r="C154" s="2"/>
      <c r="D154" s="2"/>
      <c r="E154" s="2"/>
      <c r="F154" s="44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.75" customHeight="1">
      <c r="A155" s="2"/>
      <c r="B155" s="2"/>
      <c r="C155" s="2"/>
      <c r="D155" s="2"/>
      <c r="E155" s="2"/>
      <c r="F155" s="4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.75" customHeight="1">
      <c r="A156" s="2"/>
      <c r="B156" s="2"/>
      <c r="C156" s="2"/>
      <c r="D156" s="2"/>
      <c r="E156" s="2"/>
      <c r="F156" s="44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.75" customHeight="1">
      <c r="A157" s="2"/>
      <c r="B157" s="2"/>
      <c r="C157" s="2"/>
      <c r="D157" s="2"/>
      <c r="E157" s="2"/>
      <c r="F157" s="4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.75" customHeight="1">
      <c r="A158" s="2"/>
      <c r="B158" s="2"/>
      <c r="C158" s="2"/>
      <c r="D158" s="2"/>
      <c r="E158" s="2"/>
      <c r="F158" s="44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.75" customHeight="1">
      <c r="A159" s="2"/>
      <c r="B159" s="2"/>
      <c r="C159" s="2"/>
      <c r="D159" s="2"/>
      <c r="E159" s="2"/>
      <c r="F159" s="4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.75" customHeight="1">
      <c r="A160" s="2"/>
      <c r="B160" s="2"/>
      <c r="C160" s="2"/>
      <c r="D160" s="2"/>
      <c r="E160" s="2"/>
      <c r="F160" s="44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.75" customHeight="1">
      <c r="A161" s="2"/>
      <c r="B161" s="2"/>
      <c r="C161" s="2"/>
      <c r="D161" s="2"/>
      <c r="E161" s="2"/>
      <c r="F161" s="4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.75" customHeight="1">
      <c r="A162" s="2"/>
      <c r="B162" s="2"/>
      <c r="C162" s="2"/>
      <c r="D162" s="2"/>
      <c r="E162" s="2"/>
      <c r="F162" s="44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.75" customHeight="1">
      <c r="A163" s="2"/>
      <c r="B163" s="2"/>
      <c r="C163" s="2"/>
      <c r="D163" s="2"/>
      <c r="E163" s="2"/>
      <c r="F163" s="4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.75" customHeight="1">
      <c r="A164" s="2"/>
      <c r="B164" s="2"/>
      <c r="C164" s="2"/>
      <c r="D164" s="2"/>
      <c r="E164" s="2"/>
      <c r="F164" s="44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.75" customHeight="1">
      <c r="A165" s="2"/>
      <c r="B165" s="2"/>
      <c r="C165" s="2"/>
      <c r="D165" s="2"/>
      <c r="E165" s="2"/>
      <c r="F165" s="4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.75" customHeight="1">
      <c r="A166" s="2"/>
      <c r="B166" s="2"/>
      <c r="C166" s="2"/>
      <c r="D166" s="2"/>
      <c r="E166" s="2"/>
      <c r="F166" s="44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.75" customHeight="1">
      <c r="A167" s="2"/>
      <c r="B167" s="2"/>
      <c r="C167" s="2"/>
      <c r="D167" s="2"/>
      <c r="E167" s="2"/>
      <c r="F167" s="4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.75" customHeight="1">
      <c r="A168" s="2"/>
      <c r="B168" s="2"/>
      <c r="C168" s="2"/>
      <c r="D168" s="2"/>
      <c r="E168" s="2"/>
      <c r="F168" s="44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.75" customHeight="1">
      <c r="A169" s="2"/>
      <c r="B169" s="2"/>
      <c r="C169" s="2"/>
      <c r="D169" s="2"/>
      <c r="E169" s="2"/>
      <c r="F169" s="4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.75" customHeight="1">
      <c r="A170" s="2"/>
      <c r="B170" s="2"/>
      <c r="C170" s="2"/>
      <c r="D170" s="2"/>
      <c r="E170" s="2"/>
      <c r="F170" s="44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.75" customHeight="1">
      <c r="A171" s="2"/>
      <c r="B171" s="2"/>
      <c r="C171" s="2"/>
      <c r="D171" s="2"/>
      <c r="E171" s="2"/>
      <c r="F171" s="4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.75" customHeight="1">
      <c r="A172" s="2"/>
      <c r="B172" s="2"/>
      <c r="C172" s="2"/>
      <c r="D172" s="2"/>
      <c r="E172" s="2"/>
      <c r="F172" s="44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.75" customHeight="1">
      <c r="A173" s="2"/>
      <c r="B173" s="2"/>
      <c r="C173" s="2"/>
      <c r="D173" s="2"/>
      <c r="E173" s="2"/>
      <c r="F173" s="4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.75" customHeight="1">
      <c r="A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.75" customHeight="1">
      <c r="A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.75" customHeight="1">
      <c r="A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.75" customHeight="1">
      <c r="A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.75" customHeight="1">
      <c r="A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.75" customHeight="1">
      <c r="A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.75" customHeight="1">
      <c r="A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.75" customHeight="1">
      <c r="A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.75" customHeight="1">
      <c r="A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.75" customHeight="1">
      <c r="A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.75" customHeight="1">
      <c r="A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.75" customHeight="1">
      <c r="A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.75" customHeight="1">
      <c r="A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.75" customHeight="1">
      <c r="A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.75" customHeight="1">
      <c r="A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.75" customHeight="1">
      <c r="A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.75" customHeight="1">
      <c r="A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.75" customHeight="1">
      <c r="A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.75" customHeight="1">
      <c r="A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.75" customHeight="1">
      <c r="A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.75" customHeight="1">
      <c r="A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.75" customHeight="1">
      <c r="A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.75" customHeight="1">
      <c r="A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.75" customHeight="1">
      <c r="A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.75" customHeight="1">
      <c r="A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.75" customHeight="1">
      <c r="A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.75" customHeight="1">
      <c r="A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.75" customHeight="1">
      <c r="A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.75" customHeight="1">
      <c r="A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.75" customHeight="1">
      <c r="A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.75" customHeight="1">
      <c r="A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.75" customHeight="1">
      <c r="A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.75" customHeight="1">
      <c r="A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.75" customHeight="1">
      <c r="A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.75" customHeight="1">
      <c r="A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.75" customHeight="1">
      <c r="A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.75" customHeight="1">
      <c r="A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.75" customHeight="1">
      <c r="A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.75" customHeight="1">
      <c r="A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.75" customHeight="1">
      <c r="A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.75" customHeight="1">
      <c r="A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.75" customHeight="1">
      <c r="A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.75" customHeight="1">
      <c r="A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.75" customHeight="1">
      <c r="A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.75" customHeight="1">
      <c r="A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.75" customHeight="1">
      <c r="A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.75" customHeight="1">
      <c r="A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.75" customHeight="1">
      <c r="A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.75" customHeight="1">
      <c r="A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.75" customHeight="1">
      <c r="A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.75" customHeight="1">
      <c r="A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.75" customHeight="1">
      <c r="A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.75" customHeight="1">
      <c r="A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.75" customHeight="1">
      <c r="A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.75" customHeight="1">
      <c r="A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.75" customHeight="1">
      <c r="A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.75" customHeight="1">
      <c r="A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.75" customHeight="1">
      <c r="A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.75" customHeight="1">
      <c r="A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.75" customHeight="1">
      <c r="A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.75" customHeight="1">
      <c r="A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.75" customHeight="1">
      <c r="A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.75" customHeight="1">
      <c r="A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.75" customHeight="1">
      <c r="A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.75" customHeight="1">
      <c r="A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.75" customHeight="1">
      <c r="A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.75" customHeight="1">
      <c r="A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.75" customHeight="1">
      <c r="A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.75" customHeight="1">
      <c r="A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.75" customHeight="1">
      <c r="A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.75" customHeight="1">
      <c r="A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.75" customHeight="1">
      <c r="A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.75" customHeight="1">
      <c r="A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.75" customHeight="1">
      <c r="A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.75" customHeight="1">
      <c r="A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.75" customHeight="1">
      <c r="A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.75" customHeight="1">
      <c r="A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.75" customHeight="1">
      <c r="A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.75" customHeight="1">
      <c r="A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.75" customHeight="1">
      <c r="A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.75" customHeight="1">
      <c r="A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.75" customHeight="1">
      <c r="A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.75" customHeight="1">
      <c r="A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.75" customHeight="1">
      <c r="A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.75" customHeight="1">
      <c r="A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.75" customHeight="1">
      <c r="A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.75" customHeight="1">
      <c r="A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.75" customHeight="1">
      <c r="A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.75" customHeight="1">
      <c r="A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.75" customHeight="1">
      <c r="A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.75" customHeight="1">
      <c r="A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.75" customHeight="1">
      <c r="A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.75" customHeight="1">
      <c r="A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.75" customHeight="1">
      <c r="A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.75" customHeight="1">
      <c r="A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.75" customHeight="1">
      <c r="A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.75" customHeight="1">
      <c r="A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.75" customHeight="1">
      <c r="A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.75" customHeight="1">
      <c r="A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.75" customHeight="1">
      <c r="A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.75" customHeight="1">
      <c r="A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.75" customHeight="1">
      <c r="A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.75" customHeight="1">
      <c r="A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.75" customHeight="1">
      <c r="A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.75" customHeight="1">
      <c r="A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.75" customHeight="1">
      <c r="A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.75" customHeight="1">
      <c r="A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.75" customHeight="1">
      <c r="A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.75" customHeight="1">
      <c r="A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.75" customHeight="1">
      <c r="A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.75" customHeight="1">
      <c r="A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.75" customHeight="1">
      <c r="A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.75" customHeight="1">
      <c r="A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.75" customHeight="1">
      <c r="A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.75" customHeight="1">
      <c r="A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.75" customHeight="1">
      <c r="A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.75" customHeight="1">
      <c r="A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.75" customHeight="1">
      <c r="A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.75" customHeight="1">
      <c r="A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.75" customHeight="1">
      <c r="A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.75" customHeight="1">
      <c r="A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.75" customHeight="1">
      <c r="A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.75" customHeight="1">
      <c r="A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.75" customHeight="1">
      <c r="A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.75" customHeight="1">
      <c r="A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.75" customHeight="1">
      <c r="A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.75" customHeight="1">
      <c r="A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.75" customHeight="1">
      <c r="A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.75" customHeight="1">
      <c r="A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.75" customHeight="1">
      <c r="A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.75" customHeight="1">
      <c r="A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.75" customHeight="1">
      <c r="A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.75" customHeight="1">
      <c r="A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.75" customHeight="1">
      <c r="A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.75" customHeight="1">
      <c r="A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.75" customHeight="1">
      <c r="A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.75" customHeight="1">
      <c r="A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.75" customHeight="1">
      <c r="A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.75" customHeight="1">
      <c r="A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.75" customHeight="1">
      <c r="A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.75" customHeight="1">
      <c r="A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.75" customHeight="1">
      <c r="A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.75" customHeight="1">
      <c r="A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.75" customHeight="1">
      <c r="A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.75" customHeight="1">
      <c r="A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.75" customHeight="1">
      <c r="A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.75" customHeight="1">
      <c r="A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.75" customHeight="1">
      <c r="A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.75" customHeight="1">
      <c r="A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.75" customHeight="1">
      <c r="A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.75" customHeight="1">
      <c r="A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.75" customHeight="1">
      <c r="A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.75" customHeight="1">
      <c r="A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.75" customHeight="1">
      <c r="A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.75" customHeight="1">
      <c r="A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.75" customHeight="1">
      <c r="A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.75" customHeight="1">
      <c r="A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.75" customHeight="1">
      <c r="A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.75" customHeight="1">
      <c r="A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.75" customHeight="1">
      <c r="A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.75" customHeight="1">
      <c r="A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.75" customHeight="1">
      <c r="A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.75" customHeight="1">
      <c r="A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.75" customHeight="1">
      <c r="A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.75" customHeight="1">
      <c r="A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.75" customHeight="1">
      <c r="A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.75" customHeight="1">
      <c r="A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.75" customHeight="1">
      <c r="A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.75" customHeight="1">
      <c r="A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.75" customHeight="1">
      <c r="A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.75" customHeight="1">
      <c r="A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.75" customHeight="1">
      <c r="A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.75" customHeight="1">
      <c r="A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.75" customHeight="1">
      <c r="A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.75" customHeight="1">
      <c r="A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.75" customHeight="1">
      <c r="A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.75" customHeight="1">
      <c r="A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.75" customHeight="1">
      <c r="A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.75" customHeight="1">
      <c r="A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.75" customHeight="1">
      <c r="A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.75" customHeight="1">
      <c r="A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.75" customHeight="1">
      <c r="A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.75" customHeight="1">
      <c r="A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.75" customHeight="1">
      <c r="A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.75" customHeight="1">
      <c r="A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.75" customHeight="1">
      <c r="A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.75" customHeight="1">
      <c r="A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.75" customHeight="1">
      <c r="A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.75" customHeight="1">
      <c r="A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.75" customHeight="1">
      <c r="A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.75" customHeight="1">
      <c r="A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.75" customHeight="1">
      <c r="A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.75" customHeight="1">
      <c r="A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.75" customHeight="1">
      <c r="A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.75" customHeight="1">
      <c r="A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.75" customHeight="1">
      <c r="A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.75" customHeight="1">
      <c r="A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.75" customHeight="1">
      <c r="A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.75" customHeight="1">
      <c r="A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.75" customHeight="1">
      <c r="A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.75" customHeight="1">
      <c r="A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.75" customHeight="1">
      <c r="A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.75" customHeight="1">
      <c r="A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.75" customHeight="1">
      <c r="A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.75" customHeight="1">
      <c r="A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.75" customHeight="1">
      <c r="A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.75" customHeight="1">
      <c r="A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.75" customHeight="1">
      <c r="A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.75" customHeight="1">
      <c r="A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.75" customHeight="1">
      <c r="A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.75" customHeight="1">
      <c r="A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.75" customHeight="1">
      <c r="A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.75" customHeight="1">
      <c r="A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.75" customHeight="1">
      <c r="A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.75" customHeight="1">
      <c r="A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.75" customHeight="1">
      <c r="A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.75" customHeight="1">
      <c r="A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.75" customHeight="1">
      <c r="A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.75" customHeight="1">
      <c r="A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.75" customHeight="1">
      <c r="A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.75" customHeight="1">
      <c r="A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.75" customHeight="1">
      <c r="A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.75" customHeight="1">
      <c r="A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.75" customHeight="1">
      <c r="A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.75" customHeight="1">
      <c r="A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.75" customHeight="1">
      <c r="A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.75" customHeight="1">
      <c r="A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.75" customHeight="1">
      <c r="A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.75" customHeight="1">
      <c r="A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.75" customHeight="1">
      <c r="A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.75" customHeight="1">
      <c r="A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.75" customHeight="1">
      <c r="A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.75" customHeight="1">
      <c r="A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.75" customHeight="1">
      <c r="A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.75" customHeight="1">
      <c r="A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.75" customHeight="1">
      <c r="A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.75" customHeight="1">
      <c r="A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.75" customHeight="1">
      <c r="A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.75" customHeight="1">
      <c r="A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.75" customHeight="1">
      <c r="A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.75" customHeight="1">
      <c r="A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.75" customHeight="1">
      <c r="A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.75" customHeight="1">
      <c r="A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.75" customHeight="1">
      <c r="A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.75" customHeight="1">
      <c r="A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.75" customHeight="1">
      <c r="A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.75" customHeight="1">
      <c r="A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.75" customHeight="1">
      <c r="A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.75" customHeight="1">
      <c r="A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.75" customHeight="1">
      <c r="A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.75" customHeight="1">
      <c r="A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.75" customHeight="1">
      <c r="A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.75" customHeight="1">
      <c r="A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.75" customHeight="1">
      <c r="A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.75" customHeight="1">
      <c r="A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.75" customHeight="1">
      <c r="A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.75" customHeight="1">
      <c r="A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.75" customHeight="1">
      <c r="A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.75" customHeight="1">
      <c r="A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.75" customHeight="1">
      <c r="A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.75" customHeight="1">
      <c r="A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.75" customHeight="1">
      <c r="A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.75" customHeight="1">
      <c r="A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.75" customHeight="1">
      <c r="A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.75" customHeight="1">
      <c r="A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.75" customHeight="1">
      <c r="A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.75" customHeight="1">
      <c r="A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.75" customHeight="1">
      <c r="A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.75" customHeight="1">
      <c r="A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.75" customHeight="1">
      <c r="A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.75" customHeight="1">
      <c r="A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.75" customHeight="1">
      <c r="A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.75" customHeight="1">
      <c r="A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.75" customHeight="1">
      <c r="A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.75" customHeight="1">
      <c r="A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.75" customHeight="1">
      <c r="A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.75" customHeight="1">
      <c r="A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.75" customHeight="1">
      <c r="A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.75" customHeight="1">
      <c r="A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.75" customHeight="1">
      <c r="A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.75" customHeight="1">
      <c r="A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.75" customHeight="1">
      <c r="A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.75" customHeight="1">
      <c r="A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.75" customHeight="1">
      <c r="A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.75" customHeight="1">
      <c r="A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.75" customHeight="1">
      <c r="A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.75" customHeight="1">
      <c r="A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.75" customHeight="1">
      <c r="A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.75" customHeight="1">
      <c r="A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.75" customHeight="1">
      <c r="A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.75" customHeight="1">
      <c r="A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.75" customHeight="1">
      <c r="A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.75" customHeight="1">
      <c r="A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.75" customHeight="1">
      <c r="A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.75" customHeight="1">
      <c r="A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.75" customHeight="1">
      <c r="A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.75" customHeight="1">
      <c r="A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.75" customHeight="1">
      <c r="A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.75" customHeight="1">
      <c r="A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.75" customHeight="1">
      <c r="A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.75" customHeight="1">
      <c r="A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.75" customHeight="1">
      <c r="A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.75" customHeight="1">
      <c r="A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.75" customHeight="1">
      <c r="A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.75" customHeight="1">
      <c r="A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.75" customHeight="1">
      <c r="A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.75" customHeight="1">
      <c r="A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.75" customHeight="1">
      <c r="A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.75" customHeight="1">
      <c r="A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.75" customHeight="1">
      <c r="A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.75" customHeight="1">
      <c r="A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.75" customHeight="1">
      <c r="A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.75" customHeight="1">
      <c r="A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.75" customHeight="1">
      <c r="A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.75" customHeight="1">
      <c r="A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.75" customHeight="1">
      <c r="A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.75" customHeight="1">
      <c r="A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.75" customHeight="1">
      <c r="A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.75" customHeight="1">
      <c r="A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.75" customHeight="1">
      <c r="A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.75" customHeight="1">
      <c r="A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.75" customHeight="1">
      <c r="A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.75" customHeight="1">
      <c r="A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.75" customHeight="1">
      <c r="A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.75" customHeight="1">
      <c r="A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.75" customHeight="1">
      <c r="A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.75" customHeight="1">
      <c r="A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.75" customHeight="1">
      <c r="A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.75" customHeight="1">
      <c r="A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.75" customHeight="1">
      <c r="A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.75" customHeight="1">
      <c r="A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.75" customHeight="1">
      <c r="A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.75" customHeight="1">
      <c r="A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.75" customHeight="1">
      <c r="A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.75" customHeight="1">
      <c r="A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.75" customHeight="1">
      <c r="A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.75" customHeight="1">
      <c r="A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.75" customHeight="1">
      <c r="A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.75" customHeight="1">
      <c r="A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.75" customHeight="1">
      <c r="A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.75" customHeight="1">
      <c r="A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.75" customHeight="1">
      <c r="A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.75" customHeight="1">
      <c r="A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.75" customHeight="1">
      <c r="A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.75" customHeight="1">
      <c r="A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.75" customHeight="1">
      <c r="A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.75" customHeight="1">
      <c r="A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.75" customHeight="1">
      <c r="A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.75" customHeight="1">
      <c r="A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.75" customHeight="1">
      <c r="A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.75" customHeight="1">
      <c r="A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.75" customHeight="1">
      <c r="A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.75" customHeight="1">
      <c r="A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.75" customHeight="1">
      <c r="A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.75" customHeight="1">
      <c r="A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.75" customHeight="1">
      <c r="A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.75" customHeight="1">
      <c r="A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.75" customHeight="1">
      <c r="A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.75" customHeight="1">
      <c r="A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.75" customHeight="1">
      <c r="A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.75" customHeight="1">
      <c r="A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.75" customHeight="1">
      <c r="A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.75" customHeight="1">
      <c r="A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.75" customHeight="1">
      <c r="A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.75" customHeight="1">
      <c r="A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.75" customHeight="1">
      <c r="A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.75" customHeight="1">
      <c r="A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.75" customHeight="1">
      <c r="A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.75" customHeight="1">
      <c r="A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.75" customHeight="1">
      <c r="A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.75" customHeight="1">
      <c r="A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.75" customHeight="1">
      <c r="A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.75" customHeight="1">
      <c r="A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.75" customHeight="1">
      <c r="A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.75" customHeight="1">
      <c r="A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.75" customHeight="1">
      <c r="A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.75" customHeight="1">
      <c r="A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.75" customHeight="1">
      <c r="A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.75" customHeight="1">
      <c r="A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.75" customHeight="1">
      <c r="A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.75" customHeight="1">
      <c r="A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.75" customHeight="1">
      <c r="A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.75" customHeight="1">
      <c r="A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.75" customHeight="1">
      <c r="A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.75" customHeight="1">
      <c r="A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.75" customHeight="1">
      <c r="A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.75" customHeight="1">
      <c r="A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.75" customHeight="1">
      <c r="A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.75" customHeight="1">
      <c r="A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.75" customHeight="1">
      <c r="A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.75" customHeight="1">
      <c r="A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.75" customHeight="1">
      <c r="A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.75" customHeight="1">
      <c r="A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.75" customHeight="1">
      <c r="A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.75" customHeight="1">
      <c r="A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.75" customHeight="1">
      <c r="A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.75" customHeight="1">
      <c r="A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.75" customHeight="1">
      <c r="A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.75" customHeight="1">
      <c r="A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.75" customHeight="1">
      <c r="A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.75" customHeight="1">
      <c r="A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.75" customHeight="1">
      <c r="A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.75" customHeight="1">
      <c r="A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.75" customHeight="1">
      <c r="A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.75" customHeight="1">
      <c r="A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.75" customHeight="1">
      <c r="A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.75" customHeight="1">
      <c r="A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.75" customHeight="1">
      <c r="A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.75" customHeight="1">
      <c r="A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.75" customHeight="1">
      <c r="A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.75" customHeight="1">
      <c r="A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.75" customHeight="1">
      <c r="A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.75" customHeight="1">
      <c r="A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.75" customHeight="1">
      <c r="A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.75" customHeight="1">
      <c r="A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.75" customHeight="1">
      <c r="A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.75" customHeight="1">
      <c r="A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.75" customHeight="1">
      <c r="A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.75" customHeight="1">
      <c r="A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.75" customHeight="1">
      <c r="A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.75" customHeight="1">
      <c r="A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.75" customHeight="1">
      <c r="A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.75" customHeight="1">
      <c r="A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.75" customHeight="1">
      <c r="A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.75" customHeight="1">
      <c r="A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.75" customHeight="1">
      <c r="A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.75" customHeight="1">
      <c r="A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.75" customHeight="1">
      <c r="A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.75" customHeight="1">
      <c r="A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.75" customHeight="1">
      <c r="A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.75" customHeight="1">
      <c r="A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.75" customHeight="1">
      <c r="A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.75" customHeight="1">
      <c r="A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.75" customHeight="1">
      <c r="A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.75" customHeight="1">
      <c r="A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.75" customHeight="1">
      <c r="A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.75" customHeight="1">
      <c r="A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.75" customHeight="1">
      <c r="A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.75" customHeight="1">
      <c r="A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.75" customHeight="1">
      <c r="A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.75" customHeight="1">
      <c r="A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.75" customHeight="1">
      <c r="A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.75" customHeight="1">
      <c r="A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.75" customHeight="1">
      <c r="A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.75" customHeight="1">
      <c r="A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.75" customHeight="1">
      <c r="A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.75" customHeight="1">
      <c r="A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.75" customHeight="1">
      <c r="A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.75" customHeight="1">
      <c r="A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.75" customHeight="1">
      <c r="A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.75" customHeight="1">
      <c r="A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.75" customHeight="1">
      <c r="A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.75" customHeight="1">
      <c r="A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.75" customHeight="1">
      <c r="A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.75" customHeight="1">
      <c r="A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.75" customHeight="1">
      <c r="A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.75" customHeight="1">
      <c r="A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.75" customHeight="1">
      <c r="A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.75" customHeight="1">
      <c r="A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.75" customHeight="1">
      <c r="A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.75" customHeight="1">
      <c r="A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.75" customHeight="1">
      <c r="A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.75" customHeight="1">
      <c r="A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.75" customHeight="1">
      <c r="A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.75" customHeight="1">
      <c r="A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.75" customHeight="1">
      <c r="A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.75" customHeight="1">
      <c r="A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.75" customHeight="1">
      <c r="A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.75" customHeight="1">
      <c r="A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.75" customHeight="1">
      <c r="A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.75" customHeight="1">
      <c r="A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.75" customHeight="1">
      <c r="A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.75" customHeight="1">
      <c r="A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.75" customHeight="1">
      <c r="A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.75" customHeight="1">
      <c r="A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.75" customHeight="1">
      <c r="A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.75" customHeight="1">
      <c r="A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.75" customHeight="1">
      <c r="A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.75" customHeight="1">
      <c r="A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.75" customHeight="1">
      <c r="A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.75" customHeight="1">
      <c r="A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.75" customHeight="1">
      <c r="A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.75" customHeight="1">
      <c r="A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.75" customHeight="1">
      <c r="A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.75" customHeight="1">
      <c r="A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.75" customHeight="1">
      <c r="A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.75" customHeight="1">
      <c r="A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.75" customHeight="1">
      <c r="A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.75" customHeight="1">
      <c r="A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.75" customHeight="1">
      <c r="A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.75" customHeight="1">
      <c r="A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.75" customHeight="1">
      <c r="A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.75" customHeight="1">
      <c r="A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.75" customHeight="1">
      <c r="A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.75" customHeight="1">
      <c r="A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.75" customHeight="1">
      <c r="A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.75" customHeight="1">
      <c r="A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.75" customHeight="1">
      <c r="A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.75" customHeight="1">
      <c r="A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.75" customHeight="1">
      <c r="A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.75" customHeight="1">
      <c r="A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.75" customHeight="1">
      <c r="A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.75" customHeight="1">
      <c r="A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.75" customHeight="1">
      <c r="A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.75" customHeight="1">
      <c r="A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.75" customHeight="1">
      <c r="A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.75" customHeight="1">
      <c r="A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.75" customHeight="1">
      <c r="A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.75" customHeight="1">
      <c r="A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.75" customHeight="1">
      <c r="A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.75" customHeight="1">
      <c r="A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.75" customHeight="1">
      <c r="A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.75" customHeight="1">
      <c r="A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.75" customHeight="1">
      <c r="A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.75" customHeight="1">
      <c r="A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.75" customHeight="1">
      <c r="A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.75" customHeight="1">
      <c r="A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.75" customHeight="1">
      <c r="A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.75" customHeight="1">
      <c r="A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.75" customHeight="1">
      <c r="A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.75" customHeight="1">
      <c r="A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.75" customHeight="1">
      <c r="A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.75" customHeight="1">
      <c r="A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.75" customHeight="1">
      <c r="A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.75" customHeight="1">
      <c r="A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.75" customHeight="1">
      <c r="A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.75" customHeight="1">
      <c r="A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.75" customHeight="1">
      <c r="A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.75" customHeight="1">
      <c r="A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.75" customHeight="1">
      <c r="A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.75" customHeight="1">
      <c r="A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.75" customHeight="1">
      <c r="A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.75" customHeight="1">
      <c r="A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.75" customHeight="1">
      <c r="A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.75" customHeight="1">
      <c r="A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.75" customHeight="1">
      <c r="A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.75" customHeight="1">
      <c r="A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.75" customHeight="1">
      <c r="A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.75" customHeight="1">
      <c r="A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.75" customHeight="1">
      <c r="A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.75" customHeight="1">
      <c r="A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.75" customHeight="1">
      <c r="A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.75" customHeight="1">
      <c r="A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.75" customHeight="1">
      <c r="A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.75" customHeight="1">
      <c r="A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.75" customHeight="1">
      <c r="A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.75" customHeight="1">
      <c r="A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.75" customHeight="1">
      <c r="A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.75" customHeight="1">
      <c r="A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.75" customHeight="1">
      <c r="A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.75" customHeight="1">
      <c r="A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.75" customHeight="1">
      <c r="A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.75" customHeight="1">
      <c r="A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.75" customHeight="1">
      <c r="A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.75" customHeight="1">
      <c r="A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.75" customHeight="1">
      <c r="A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.75" customHeight="1">
      <c r="A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.75" customHeight="1">
      <c r="A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.75" customHeight="1">
      <c r="A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.75" customHeight="1">
      <c r="A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.75" customHeight="1">
      <c r="A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.75" customHeight="1">
      <c r="A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.75" customHeight="1">
      <c r="A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.75" customHeight="1">
      <c r="A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.75" customHeight="1">
      <c r="A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.75" customHeight="1">
      <c r="A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.75" customHeight="1">
      <c r="A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.75" customHeight="1">
      <c r="A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.75" customHeight="1">
      <c r="A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.75" customHeight="1">
      <c r="A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.75" customHeight="1">
      <c r="A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.75" customHeight="1">
      <c r="A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.75" customHeight="1">
      <c r="A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.75" customHeight="1">
      <c r="A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.75" customHeight="1">
      <c r="A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.75" customHeight="1">
      <c r="A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.75" customHeight="1">
      <c r="A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.75" customHeight="1">
      <c r="A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.75" customHeight="1">
      <c r="A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.75" customHeight="1">
      <c r="A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.75" customHeight="1">
      <c r="A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.75" customHeight="1">
      <c r="A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.75" customHeight="1">
      <c r="A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.75" customHeight="1">
      <c r="A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.75" customHeight="1">
      <c r="A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.75" customHeight="1">
      <c r="A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.75" customHeight="1">
      <c r="A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.75" customHeight="1">
      <c r="A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.75" customHeight="1">
      <c r="A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.75" customHeight="1">
      <c r="A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.75" customHeight="1">
      <c r="A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.75" customHeight="1">
      <c r="A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.75" customHeight="1">
      <c r="A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.75" customHeight="1">
      <c r="A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.75" customHeight="1">
      <c r="A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.75" customHeight="1">
      <c r="A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.75" customHeight="1">
      <c r="A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.75" customHeight="1">
      <c r="A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.75" customHeight="1">
      <c r="A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.75" customHeight="1">
      <c r="A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.75" customHeight="1">
      <c r="A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.75" customHeight="1">
      <c r="A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.75" customHeight="1">
      <c r="A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.75" customHeight="1">
      <c r="A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.75" customHeight="1">
      <c r="A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.75" customHeight="1">
      <c r="A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.75" customHeight="1">
      <c r="A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.75" customHeight="1">
      <c r="A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.75" customHeight="1">
      <c r="A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.75" customHeight="1">
      <c r="A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.75" customHeight="1">
      <c r="A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.75" customHeight="1">
      <c r="A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.75" customHeight="1">
      <c r="A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.75" customHeight="1">
      <c r="A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.75" customHeight="1">
      <c r="A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.75" customHeight="1">
      <c r="A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.75" customHeight="1">
      <c r="A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.75" customHeight="1">
      <c r="A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.75" customHeight="1">
      <c r="A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.75" customHeight="1">
      <c r="A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.75" customHeight="1">
      <c r="A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.75" customHeight="1">
      <c r="A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.75" customHeight="1">
      <c r="A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.75" customHeight="1">
      <c r="A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.75" customHeight="1">
      <c r="A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.75" customHeight="1">
      <c r="A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.75" customHeight="1">
      <c r="A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.75" customHeight="1">
      <c r="A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.75" customHeight="1">
      <c r="A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.75" customHeight="1">
      <c r="A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.75" customHeight="1">
      <c r="A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.75" customHeight="1">
      <c r="A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.75" customHeight="1">
      <c r="A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.75" customHeight="1">
      <c r="A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.75" customHeight="1">
      <c r="A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.75" customHeight="1">
      <c r="A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.75" customHeight="1">
      <c r="A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.75" customHeight="1">
      <c r="A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.75" customHeight="1">
      <c r="A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.75" customHeight="1">
      <c r="A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.75" customHeight="1">
      <c r="A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.75" customHeight="1">
      <c r="A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.75" customHeight="1">
      <c r="A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.75" customHeight="1">
      <c r="A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.75" customHeight="1">
      <c r="A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.75" customHeight="1">
      <c r="A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.75" customHeight="1">
      <c r="A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.75" customHeight="1">
      <c r="A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.75" customHeight="1">
      <c r="A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.75" customHeight="1">
      <c r="A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.75" customHeight="1">
      <c r="A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.75" customHeight="1">
      <c r="A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.75" customHeight="1">
      <c r="A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.75" customHeight="1">
      <c r="A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.75" customHeight="1">
      <c r="A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.75" customHeight="1">
      <c r="A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.75" customHeight="1">
      <c r="A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.75" customHeight="1">
      <c r="A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.75" customHeight="1">
      <c r="A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.75" customHeight="1">
      <c r="A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.75" customHeight="1">
      <c r="A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.75" customHeight="1">
      <c r="A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.75" customHeight="1">
      <c r="A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.75" customHeight="1">
      <c r="A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.75" customHeight="1">
      <c r="A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.75" customHeight="1">
      <c r="A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.75" customHeight="1">
      <c r="A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.75" customHeight="1">
      <c r="A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.75" customHeight="1">
      <c r="A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.75" customHeight="1">
      <c r="A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.75" customHeight="1">
      <c r="A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.75" customHeight="1">
      <c r="A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.75" customHeight="1">
      <c r="A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.75" customHeight="1">
      <c r="A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.75" customHeight="1">
      <c r="A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.75" customHeight="1">
      <c r="A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.75" customHeight="1">
      <c r="A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.75" customHeight="1">
      <c r="A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.75" customHeight="1">
      <c r="A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.75" customHeight="1">
      <c r="A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.75" customHeight="1">
      <c r="A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.75" customHeight="1">
      <c r="A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.75" customHeight="1">
      <c r="A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.75" customHeight="1">
      <c r="A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.75" customHeight="1">
      <c r="A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.75" customHeight="1">
      <c r="A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.75" customHeight="1">
      <c r="A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.75" customHeight="1">
      <c r="A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.75" customHeight="1">
      <c r="A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.75" customHeight="1">
      <c r="A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.75" customHeight="1">
      <c r="A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.75" customHeight="1">
      <c r="A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.75" customHeight="1">
      <c r="A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.75" customHeight="1">
      <c r="A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.75" customHeight="1">
      <c r="A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.75" customHeight="1">
      <c r="A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.75" customHeight="1">
      <c r="A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.75" customHeight="1">
      <c r="A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.75" customHeight="1">
      <c r="A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.75" customHeight="1">
      <c r="A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.75" customHeight="1">
      <c r="A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.75" customHeight="1">
      <c r="A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.75" customHeight="1">
      <c r="A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.75" customHeight="1">
      <c r="A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.75" customHeight="1">
      <c r="A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.75" customHeight="1">
      <c r="A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.75" customHeight="1">
      <c r="A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.75" customHeight="1">
      <c r="A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.75" customHeight="1">
      <c r="A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.75" customHeight="1">
      <c r="A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.75" customHeight="1">
      <c r="A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.75" customHeight="1">
      <c r="A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.75" customHeight="1">
      <c r="A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.75" customHeight="1">
      <c r="A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.75" customHeight="1">
      <c r="A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.75" customHeight="1">
      <c r="A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.75" customHeight="1">
      <c r="A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.75" customHeight="1">
      <c r="A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.75" customHeight="1">
      <c r="A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.75" customHeight="1">
      <c r="A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.75" customHeight="1">
      <c r="A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.75" customHeight="1">
      <c r="A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.75" customHeight="1">
      <c r="A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.75" customHeight="1">
      <c r="A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.75" customHeight="1">
      <c r="A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.75" customHeight="1">
      <c r="A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.75" customHeight="1">
      <c r="A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.75" customHeight="1">
      <c r="A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.75" customHeight="1">
      <c r="A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.75" customHeight="1">
      <c r="A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.75" customHeight="1">
      <c r="A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.75" customHeight="1">
      <c r="A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.75" customHeight="1">
      <c r="A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.75" customHeight="1">
      <c r="A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.75" customHeight="1">
      <c r="A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.75" customHeight="1">
      <c r="A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.75" customHeight="1">
      <c r="A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.75" customHeight="1">
      <c r="A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.75" customHeight="1">
      <c r="A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.75" customHeight="1">
      <c r="A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.75" customHeight="1">
      <c r="A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.75" customHeight="1">
      <c r="A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.75" customHeight="1">
      <c r="A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.75" customHeight="1">
      <c r="A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.75" customHeight="1">
      <c r="A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.75" customHeight="1">
      <c r="A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.75" customHeight="1">
      <c r="A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.75" customHeight="1">
      <c r="A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.75" customHeight="1">
      <c r="A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.75" customHeight="1">
      <c r="A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.75" customHeight="1">
      <c r="A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.75" customHeight="1">
      <c r="A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.75" customHeight="1">
      <c r="A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.75" customHeight="1">
      <c r="A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.75" customHeight="1">
      <c r="A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.75" customHeight="1">
      <c r="A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.75" customHeight="1">
      <c r="A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.75" customHeight="1">
      <c r="A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.75" customHeight="1">
      <c r="A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.75" customHeight="1">
      <c r="A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.75" customHeight="1">
      <c r="A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.75" customHeight="1">
      <c r="A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.75" customHeight="1">
      <c r="A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.75" customHeight="1">
      <c r="A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.75" customHeight="1">
      <c r="A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.75" customHeight="1">
      <c r="A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.75" customHeight="1">
      <c r="A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.75" customHeight="1">
      <c r="A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.75" customHeight="1">
      <c r="A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.75" customHeight="1">
      <c r="A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.75" customHeight="1">
      <c r="A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.75" customHeight="1">
      <c r="A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.75" customHeight="1">
      <c r="A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.75" customHeight="1">
      <c r="A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.75" customHeight="1">
      <c r="A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.75" customHeight="1">
      <c r="A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.75" customHeight="1">
      <c r="A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.75" customHeight="1">
      <c r="A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</sheetData>
  <mergeCells count="3">
    <mergeCell ref="B8:D9"/>
    <mergeCell ref="F8:H9"/>
    <mergeCell ref="C1:V5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baseColWidth="10" defaultColWidth="12.58203125" defaultRowHeight="15" customHeight="1"/>
  <cols>
    <col min="1" max="26" width="9.4140625" customWidth="1"/>
  </cols>
  <sheetData>
    <row r="1" spans="1:1" ht="14">
      <c r="A1" s="143" t="s">
        <v>93</v>
      </c>
    </row>
    <row r="2" spans="1:1" ht="14">
      <c r="A2" s="144" t="s">
        <v>12</v>
      </c>
    </row>
    <row r="3" spans="1:1" ht="14">
      <c r="A3" s="5" t="s">
        <v>33</v>
      </c>
    </row>
    <row r="4" spans="1:1" ht="14">
      <c r="A4" s="5" t="s">
        <v>22</v>
      </c>
    </row>
    <row r="5" spans="1:1" ht="14">
      <c r="A5" s="5" t="s">
        <v>48</v>
      </c>
    </row>
    <row r="6" spans="1:1" ht="14">
      <c r="A6" s="5" t="s">
        <v>13</v>
      </c>
    </row>
    <row r="7" spans="1:1" ht="14">
      <c r="A7" s="145"/>
    </row>
    <row r="8" spans="1:1" ht="14">
      <c r="A8" s="145"/>
    </row>
    <row r="9" spans="1:1" ht="14">
      <c r="A9" s="5" t="s">
        <v>94</v>
      </c>
    </row>
    <row r="10" spans="1:1" ht="14">
      <c r="A10" s="5" t="s">
        <v>24</v>
      </c>
    </row>
    <row r="11" spans="1:1" ht="14">
      <c r="A11" s="5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Flujo de Caja</vt:lpstr>
      <vt:lpstr>Real vs presupuestado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Pineda Jaramillo</dc:creator>
  <cp:lastModifiedBy>Brandon Steven Gomez Bolaños</cp:lastModifiedBy>
  <dcterms:created xsi:type="dcterms:W3CDTF">2020-04-04T01:43:40Z</dcterms:created>
  <dcterms:modified xsi:type="dcterms:W3CDTF">2026-02-26T02:14:45Z</dcterms:modified>
</cp:coreProperties>
</file>